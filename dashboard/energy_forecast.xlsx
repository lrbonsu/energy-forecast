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nnettabonsu/energy-forecast/dashboard/"/>
    </mc:Choice>
  </mc:AlternateContent>
  <xr:revisionPtr revIDLastSave="0" documentId="13_ncr:1_{F9A91176-4797-E749-BDC9-E70FE6F068B8}" xr6:coauthVersionLast="47" xr6:coauthVersionMax="47" xr10:uidLastSave="{00000000-0000-0000-0000-000000000000}"/>
  <bookViews>
    <workbookView xWindow="9040" yWindow="2020" windowWidth="23320" windowHeight="18940" activeTab="4" xr2:uid="{030D9E97-2A94-D449-81E4-0B2CBFCC8D95}"/>
  </bookViews>
  <sheets>
    <sheet name="raw_data" sheetId="2" r:id="rId1"/>
    <sheet name="calculations" sheetId="1" r:id="rId2"/>
    <sheet name="forecast" sheetId="3" r:id="rId3"/>
    <sheet name="Charts" sheetId="5" r:id="rId4"/>
    <sheet name="dashboard" sheetId="4" r:id="rId5"/>
  </sheets>
  <definedNames>
    <definedName name="ExternalData_1" localSheetId="0" hidden="1">raw_data!$A$1:$J$37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D38" i="3"/>
  <c r="D39" i="3"/>
  <c r="D40" i="3"/>
  <c r="D41" i="3"/>
  <c r="D42" i="3"/>
  <c r="D43" i="3"/>
  <c r="C38" i="3"/>
  <c r="C39" i="3"/>
  <c r="C40" i="3"/>
  <c r="C41" i="3"/>
  <c r="C42" i="3"/>
  <c r="C43" i="3"/>
  <c r="B43" i="3"/>
  <c r="B42" i="3"/>
  <c r="B41" i="3"/>
  <c r="B40" i="3"/>
  <c r="B39" i="3"/>
  <c r="B38" i="3"/>
  <c r="B25" i="1"/>
  <c r="H62" i="4" s="1"/>
  <c r="B22" i="1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/>
  <c r="K12" i="2" a="1"/>
  <c r="K12" i="2" s="1"/>
  <c r="K13" i="2" a="1"/>
  <c r="K13" i="2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B3" i="1"/>
  <c r="B5" i="1"/>
  <c r="B9" i="1"/>
  <c r="B10" i="1" s="1"/>
  <c r="B8" i="1"/>
  <c r="B7" i="1"/>
  <c r="B6" i="1"/>
  <c r="B4" i="1"/>
  <c r="B27" i="1" l="1"/>
  <c r="C17" i="1"/>
  <c r="C15" i="1"/>
  <c r="B16" i="1"/>
  <c r="C16" i="1"/>
  <c r="B17" i="1"/>
  <c r="C18" i="1"/>
  <c r="B18" i="1"/>
  <c r="H63" i="4" l="1"/>
  <c r="B28" i="1"/>
  <c r="H6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2" authorId="0" shapeId="0" xr:uid="{958AD94D-9167-F746-9785-9D6ABFEC893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→ what we expect on a normal day</t>
        </r>
      </text>
    </comment>
    <comment ref="A23" authorId="0" shapeId="0" xr:uid="{E836BEF9-BAA1-B340-AFEF-43D8D86A894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→ what if growth is faster than expected</t>
        </r>
      </text>
    </comment>
    <comment ref="B23" authorId="0" shapeId="0" xr:uid="{93C3D9C3-B461-454C-BB38-8392D9891C81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Aptos Narrow"/>
            <scheme val="minor"/>
          </rPr>
          <t xml:space="preserve">represents an </t>
        </r>
        <r>
          <rPr>
            <sz val="10"/>
            <color rgb="FF000000"/>
            <rFont val="Aptos Narrow"/>
            <scheme val="minor"/>
          </rPr>
          <t>additional growth rate</t>
        </r>
        <r>
          <rPr>
            <sz val="10"/>
            <color rgb="FF000000"/>
            <rFont val="Aptos Narrow"/>
            <scheme val="minor"/>
          </rPr>
          <t xml:space="preserve"> on top of the base forecast to account for unexpected demand increases like new housing developments, industrial growth, or electric vehicle adoption.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-Conservative → </t>
        </r>
        <r>
          <rPr>
            <sz val="10"/>
            <color rgb="FF000000"/>
            <rFont val="Aptos Narrow"/>
            <scheme val="minor"/>
          </rPr>
          <t>0.01</t>
        </r>
        <r>
          <rPr>
            <sz val="10"/>
            <color rgb="FF000000"/>
            <rFont val="Aptos Narrow"/>
            <scheme val="minor"/>
          </rPr>
          <t xml:space="preserve"> (1%) 
-Base case → </t>
        </r>
        <r>
          <rPr>
            <sz val="10"/>
            <color rgb="FF000000"/>
            <rFont val="Aptos Narrow"/>
            <scheme val="minor"/>
          </rPr>
          <t>0.03</t>
        </r>
        <r>
          <rPr>
            <sz val="10"/>
            <color rgb="FF000000"/>
            <rFont val="Aptos Narrow"/>
            <scheme val="minor"/>
          </rPr>
          <t xml:space="preserve"> (3%) 
-Aggressive → </t>
        </r>
        <r>
          <rPr>
            <sz val="10"/>
            <color rgb="FF000000"/>
            <rFont val="Aptos Narrow"/>
            <scheme val="minor"/>
          </rPr>
          <t>0.06</t>
        </r>
        <r>
          <rPr>
            <sz val="10"/>
            <color rgb="FF000000"/>
            <rFont val="Aptos Narrow"/>
            <scheme val="minor"/>
          </rPr>
          <t xml:space="preserve"> (6%)</t>
        </r>
      </text>
    </comment>
    <comment ref="A24" authorId="0" shapeId="0" xr:uid="{AC639571-8EF2-D446-945E-83C625D6BC9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→ what if an extreme weather event hits</t>
        </r>
      </text>
    </comment>
    <comment ref="B24" authorId="0" shapeId="0" xr:uid="{B0127252-A421-EB4A-93B1-8282D8AC71E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adds a </t>
        </r>
        <r>
          <rPr>
            <b/>
            <sz val="10"/>
            <color rgb="FF000000"/>
            <rFont val="Aptos Narrow"/>
            <scheme val="minor"/>
          </rPr>
          <t>15% safety buffer</t>
        </r>
        <r>
          <rPr>
            <sz val="10"/>
            <color rgb="FF000000"/>
            <rFont val="Aptos Narrow"/>
            <scheme val="minor"/>
          </rPr>
          <t xml:space="preserve"> on top of the forecast to ensure the grid has enough capacity to handle extreme weather events - heat waves, cold snaps, storms</t>
        </r>
        <r>
          <rPr>
            <sz val="10"/>
            <color rgb="FF000000"/>
            <rFont val="Aptos Narrow"/>
            <scheme val="minor"/>
          </rPr>
          <t xml:space="preserve"> -</t>
        </r>
        <r>
          <rPr>
            <sz val="10"/>
            <color rgb="FF000000"/>
            <rFont val="Aptos Narrow"/>
            <scheme val="minor"/>
          </rPr>
          <t xml:space="preserve"> that cause sudden demand spikes.</t>
        </r>
      </text>
    </comment>
    <comment ref="A25" authorId="0" shapeId="0" xr:uid="{B2E4EF08-11EA-DE4E-8B6B-147F6722840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→ the minimum grid capacity we need</t>
        </r>
      </text>
    </comment>
    <comment ref="A26" authorId="0" shapeId="0" xr:uid="{905E51C4-77C1-8240-8DF2-6AC759B0F80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change B26 </t>
        </r>
        <r>
          <rPr>
            <sz val="10"/>
            <color rgb="FF000000"/>
            <rFont val="Aptos Narrow"/>
            <scheme val="minor"/>
          </rPr>
          <t>to match any grid size scenario</t>
        </r>
      </text>
    </comment>
    <comment ref="A27" authorId="0" shapeId="0" xr:uid="{ECDA77DB-7415-0D45-AC7C-0E1EC4AE4D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Aptos Narrow"/>
            <scheme val="minor"/>
          </rPr>
          <t>Positive gap</t>
        </r>
        <r>
          <rPr>
            <sz val="10"/>
            <color rgb="FF000000"/>
            <rFont val="Aptos Narrow"/>
            <scheme val="minor"/>
          </rPr>
          <t xml:space="preserve"> → grid is undersized - need to invest in new capacity </t>
        </r>
        <r>
          <rPr>
            <b/>
            <sz val="10"/>
            <color rgb="FF000000"/>
            <rFont val="Aptos Narrow"/>
            <scheme val="minor"/>
          </rPr>
          <t>Negative gap</t>
        </r>
        <r>
          <rPr>
            <sz val="10"/>
            <color rgb="FF000000"/>
            <rFont val="Aptos Narrow"/>
            <scheme val="minor"/>
          </rPr>
          <t xml:space="preserve"> → grid has surplus - no immediate investment needed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1224EC16-A153-9C49-9CAA-D4F22B2E3B0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gives -8% confidence band around each forecast value</t>
        </r>
      </text>
    </comment>
    <comment ref="D1" authorId="0" shapeId="0" xr:uid="{DB113B74-7821-4B41-ACBE-E6E782DF137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gives +8% confidence band around each forecast value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4224B4-3538-E84D-98B0-7D05AF208B80}" keepAlive="1" name="Query - monthly_demand" description="Connection to the 'monthly_demand' query in the workbook." type="5" refreshedVersion="8" background="1" saveData="1">
    <dbPr connection="Provider=Microsoft.Mashup.OleDb.1;Data Source=$Workbook$;Location=monthly_demand;Extended Properties=&quot;&quot;" command="SELECT * FROM [monthly_deman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<sst xmlns="http://schemas.openxmlformats.org/spreadsheetml/2006/main" count="114" uniqueCount="69">
  <si>
    <t>year</t>
  </si>
  <si>
    <t>month</t>
  </si>
  <si>
    <t>total_demand</t>
  </si>
  <si>
    <t>avg_daily</t>
  </si>
  <si>
    <t>peak_demand</t>
  </si>
  <si>
    <t>min_demand</t>
  </si>
  <si>
    <t>avg_temp</t>
  </si>
  <si>
    <t>spike_days</t>
  </si>
  <si>
    <t>days_in_month</t>
  </si>
  <si>
    <t>year_month</t>
  </si>
  <si>
    <t>Total Days</t>
  </si>
  <si>
    <t>Avg Daily Demand</t>
  </si>
  <si>
    <t>Min Monthly Demand</t>
  </si>
  <si>
    <t>Peak Monthly Demand</t>
  </si>
  <si>
    <t>Total Demand (MWh)</t>
  </si>
  <si>
    <t>2024 Avg Daily</t>
  </si>
  <si>
    <t>2023 Avg Daily</t>
  </si>
  <si>
    <t>YoY Growth %</t>
  </si>
  <si>
    <t>KPI Formulas</t>
  </si>
  <si>
    <t>SUMIFS</t>
  </si>
  <si>
    <t>Seasonal Demand Breakdown</t>
  </si>
  <si>
    <t>Season</t>
  </si>
  <si>
    <t>Summer</t>
  </si>
  <si>
    <t>Winter</t>
  </si>
  <si>
    <t>Fall</t>
  </si>
  <si>
    <t>Spring</t>
  </si>
  <si>
    <t>What-if scenario model</t>
  </si>
  <si>
    <t>Capacity Planning - What-If Model</t>
  </si>
  <si>
    <t>Base Forecast (MWh/day):</t>
  </si>
  <si>
    <t>Growth Scenario %:</t>
  </si>
  <si>
    <t>Avg Temperature</t>
  </si>
  <si>
    <t>season</t>
  </si>
  <si>
    <t>Demand Spike Buffer%:</t>
  </si>
  <si>
    <t>Required Capacity (MWh/day):</t>
  </si>
  <si>
    <t>Current Grid Capacity:</t>
  </si>
  <si>
    <t>Capacity Gap (MWh/day):</t>
  </si>
  <si>
    <t>Capacity Gap %:</t>
  </si>
  <si>
    <t>lower_95</t>
  </si>
  <si>
    <t>upper_95</t>
  </si>
  <si>
    <t>type</t>
  </si>
  <si>
    <t>Historical</t>
  </si>
  <si>
    <t>Forecast</t>
  </si>
  <si>
    <t>Row Labels</t>
  </si>
  <si>
    <t>Grand Total</t>
  </si>
  <si>
    <t>2022</t>
  </si>
  <si>
    <t>2023</t>
  </si>
  <si>
    <t>2024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</si>
  <si>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</si>
  <si>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</si>
  <si>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</si>
  <si>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</si>
  <si>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</si>
  <si>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</si>
  <si>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</si>
  <si>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</si>
  <si>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</si>
  <si>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</si>
  <si>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</si>
  <si>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</si>
  <si>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</si>
  <si>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avg_daily</t>
  </si>
  <si>
    <r>
      <rPr>
        <sz val="20"/>
        <color theme="1" tint="0.249977111117893"/>
        <rFont val="Aptos Narrow"/>
        <scheme val="minor"/>
      </rPr>
      <t>Peak Monthly Demand</t>
    </r>
    <r>
      <rPr>
        <b/>
        <sz val="20"/>
        <color theme="1" tint="0.249977111117893"/>
        <rFont val="Aptos Narrow"/>
        <scheme val="minor"/>
      </rPr>
      <t xml:space="preserve">
2170.3</t>
    </r>
  </si>
  <si>
    <r>
      <t xml:space="preserve">YoY Growth %
</t>
    </r>
    <r>
      <rPr>
        <b/>
        <sz val="20"/>
        <color theme="1" tint="0.249977111117893"/>
        <rFont val="Aptos Narrow"/>
        <scheme val="minor"/>
      </rPr>
      <t>1.2%</t>
    </r>
  </si>
  <si>
    <t>Energy Demand Dashboard</t>
  </si>
  <si>
    <t>Capacity Gap:</t>
  </si>
  <si>
    <t>Required Capacity:</t>
  </si>
  <si>
    <t>What-If Model</t>
  </si>
  <si>
    <t>Change growth % and spike buffer in calculations sheet</t>
  </si>
  <si>
    <r>
      <t xml:space="preserve">Avg Daily Demand
</t>
    </r>
    <r>
      <rPr>
        <b/>
        <sz val="20"/>
        <color theme="1" tint="0.249977111117893"/>
        <rFont val="Aptos Narrow"/>
        <scheme val="minor"/>
      </rPr>
      <t>1211.7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</si>
</sst>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71" formatCode="m/yy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u/>
      <sz val="12"/>
      <color theme="0"/>
      <name val="Aptos Narrow"/>
      <scheme val="minor"/>
    </font>
    <font>
      <sz val="20"/>
      <color theme="1" tint="0.249977111117893"/>
      <name val="Aptos Narrow"/>
      <scheme val="minor"/>
    </font>
    <font>
      <b/>
      <sz val="20"/>
      <color theme="1" tint="0.249977111117893"/>
      <name val="Aptos Narrow"/>
      <scheme val="minor"/>
    </font>
    <font>
      <b/>
      <u/>
      <sz val="26"/>
      <color theme="0"/>
      <name val="Aptos Narrow (Body)"/>
    </font>
    <font>
      <u/>
      <sz val="12"/>
      <color theme="0"/>
      <name val="Aptos Narrow"/>
      <family val="2"/>
      <scheme val="minor"/>
    </font>
    <font>
      <b/>
      <sz val="20"/>
      <color theme="1" tint="0.34998626667073579"/>
      <name val="Aptos Narrow"/>
      <scheme val="minor"/>
    </font>
    <font>
      <b/>
      <u/>
      <sz val="22"/>
      <color theme="1" tint="0.34998626667073579"/>
      <name val="Aptos Narrow"/>
      <scheme val="minor"/>
    </font>
    <font>
      <b/>
      <sz val="14"/>
      <color rgb="FFFF93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FF9300"/>
      </top>
      <bottom/>
      <diagonal/>
    </border>
    <border>
      <left style="medium">
        <color rgb="FFFF9300"/>
      </left>
      <right style="medium">
        <color rgb="FFFF9300"/>
      </right>
      <top style="medium">
        <color rgb="FFFF9300"/>
      </top>
      <bottom style="medium">
        <color rgb="FFFF9300"/>
      </bottom>
      <diagonal/>
    </border>
    <border>
      <left/>
      <right style="thin">
        <color rgb="FFFF9300"/>
      </right>
      <top/>
      <bottom/>
      <diagonal/>
    </border>
    <border>
      <left/>
      <right/>
      <top/>
      <bottom style="thin">
        <color rgb="FFFF9300"/>
      </bottom>
      <diagonal/>
    </border>
    <border>
      <left/>
      <right style="thin">
        <color rgb="FFFF9300"/>
      </right>
      <top/>
      <bottom style="thin">
        <color rgb="FFFF9300"/>
      </bottom>
      <diagonal/>
    </border>
    <border>
      <left style="thin">
        <color rgb="FFFF9300"/>
      </left>
      <right/>
      <top/>
      <bottom style="thin">
        <color rgb="FFFF9300"/>
      </bottom>
      <diagonal/>
    </border>
    <border>
      <left style="thin">
        <color rgb="FFFF9300"/>
      </left>
      <right/>
      <top style="thin">
        <color rgb="FFFF9300"/>
      </top>
      <bottom/>
      <diagonal/>
    </border>
    <border>
      <left/>
      <right style="thin">
        <color rgb="FFFF9300"/>
      </right>
      <top style="thin">
        <color rgb="FFFF9300"/>
      </top>
      <bottom/>
      <diagonal/>
    </border>
    <border>
      <left style="thin">
        <color rgb="FFFF930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2" fillId="0" borderId="0" xfId="0" applyFont="1"/>
    <xf numFmtId="165" fontId="0" fillId="0" borderId="0" xfId="0" applyNumberFormat="1"/>
    <xf numFmtId="0" fontId="3" fillId="0" borderId="0" xfId="0" applyFont="1"/>
    <xf numFmtId="1" fontId="0" fillId="0" borderId="0" xfId="0" applyNumberFormat="1"/>
    <xf numFmtId="2" fontId="0" fillId="0" borderId="0" xfId="0" applyNumberFormat="1"/>
    <xf numFmtId="171" fontId="0" fillId="0" borderId="0" xfId="0" applyNumberFormat="1" applyFont="1" applyAlignment="1"/>
    <xf numFmtId="171" fontId="0" fillId="0" borderId="0" xfId="0" applyNumberFormat="1"/>
    <xf numFmtId="0" fontId="0" fillId="0" borderId="0" xfId="0" applyNumberFormat="1"/>
    <xf numFmtId="0" fontId="4" fillId="2" borderId="0" xfId="0" applyFont="1" applyFill="1"/>
    <xf numFmtId="0" fontId="9" fillId="2" borderId="0" xfId="0" applyFont="1" applyFill="1"/>
    <xf numFmtId="164" fontId="4" fillId="2" borderId="0" xfId="1" applyNumberFormat="1" applyFont="1" applyFill="1"/>
    <xf numFmtId="165" fontId="4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Border="1"/>
    <xf numFmtId="0" fontId="11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4" fillId="2" borderId="4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0" xfId="0" applyFont="1" applyFill="1" applyBorder="1"/>
    <xf numFmtId="0" fontId="4" fillId="2" borderId="3" xfId="0" applyFont="1" applyFill="1" applyBorder="1"/>
    <xf numFmtId="0" fontId="4" fillId="3" borderId="7" xfId="0" applyFont="1" applyFill="1" applyBorder="1"/>
    <xf numFmtId="0" fontId="4" fillId="3" borderId="1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15" fillId="3" borderId="0" xfId="0" applyFont="1" applyFill="1" applyBorder="1" applyAlignment="1">
      <alignment horizontal="right"/>
    </xf>
    <xf numFmtId="0" fontId="16" fillId="3" borderId="0" xfId="0" applyFont="1" applyFill="1" applyBorder="1" applyAlignment="1">
      <alignment horizontal="center"/>
    </xf>
    <xf numFmtId="0" fontId="14" fillId="3" borderId="0" xfId="0" applyFont="1" applyFill="1" applyBorder="1"/>
    <xf numFmtId="165" fontId="14" fillId="3" borderId="0" xfId="0" applyNumberFormat="1" applyFont="1" applyFill="1" applyBorder="1"/>
    <xf numFmtId="164" fontId="14" fillId="3" borderId="0" xfId="1" applyNumberFormat="1" applyFont="1" applyFill="1" applyBorder="1"/>
    <xf numFmtId="0" fontId="4" fillId="3" borderId="6" xfId="0" applyFont="1" applyFill="1" applyBorder="1"/>
  </cellXfs>
  <cellStyles count="2">
    <cellStyle name="Normal" xfId="0" builtinId="0"/>
    <cellStyle name="Percent" xfId="1" builtinId="5"/>
  </cellStyles>
  <dxfs count="6">
    <dxf>
      <numFmt numFmtId="0" formatCode="General"/>
    </dxf>
    <dxf>
      <numFmt numFmtId="0" formatCode="General"/>
    </dxf>
    <dxf>
      <numFmt numFmtId="171" formatCode="m/yy"/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71" formatCode="m/yy"/>
      <alignment horizontal="general" vertical="bottom" textRotation="0" wrapText="0" indent="0" justifyLastLine="0" shrinkToFit="0" readingOrder="0"/>
    </dxf>
    <dxf>
      <numFmt numFmtId="0" formatCode="General"/>
    </dxf>
    <dxf>
      <numFmt numFmtId="1" formatCode="0"/>
    </dxf>
  </dxfs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/>
              <a:t>Energy Demand Forecast 2025 H1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avg_daily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378440559614497"/>
                  <c:y val="3.75028512074981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forecast!$A$2:$A$43</c:f>
              <c:numCache>
                <c:formatCode>m/yy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45682</c:v>
                </c:pt>
                <c:pt idx="37">
                  <c:v>45714</c:v>
                </c:pt>
                <c:pt idx="38">
                  <c:v>45742</c:v>
                </c:pt>
                <c:pt idx="39">
                  <c:v>45773</c:v>
                </c:pt>
                <c:pt idx="40">
                  <c:v>45803</c:v>
                </c:pt>
                <c:pt idx="41">
                  <c:v>45833</c:v>
                </c:pt>
              </c:numCache>
            </c:numRef>
          </c:cat>
          <c:val>
            <c:numRef>
              <c:f>forecast!$B$2:$B$43</c:f>
              <c:numCache>
                <c:formatCode>General</c:formatCode>
                <c:ptCount val="42"/>
                <c:pt idx="0">
                  <c:v>1274.2</c:v>
                </c:pt>
                <c:pt idx="1">
                  <c:v>1225.3</c:v>
                </c:pt>
                <c:pt idx="2">
                  <c:v>1093.4000000000001</c:v>
                </c:pt>
                <c:pt idx="3">
                  <c:v>989.4</c:v>
                </c:pt>
                <c:pt idx="4">
                  <c:v>959.3</c:v>
                </c:pt>
                <c:pt idx="5">
                  <c:v>1223</c:v>
                </c:pt>
                <c:pt idx="6">
                  <c:v>1406.3</c:v>
                </c:pt>
                <c:pt idx="7">
                  <c:v>1357.9</c:v>
                </c:pt>
                <c:pt idx="8">
                  <c:v>1155.3</c:v>
                </c:pt>
                <c:pt idx="9">
                  <c:v>1015.8</c:v>
                </c:pt>
                <c:pt idx="10">
                  <c:v>1117.2</c:v>
                </c:pt>
                <c:pt idx="11">
                  <c:v>1242.5999999999999</c:v>
                </c:pt>
                <c:pt idx="12">
                  <c:v>1344</c:v>
                </c:pt>
                <c:pt idx="13">
                  <c:v>1312.2</c:v>
                </c:pt>
                <c:pt idx="14">
                  <c:v>1144.2</c:v>
                </c:pt>
                <c:pt idx="15">
                  <c:v>1012.8</c:v>
                </c:pt>
                <c:pt idx="16">
                  <c:v>1007.1</c:v>
                </c:pt>
                <c:pt idx="17">
                  <c:v>1258.0999999999999</c:v>
                </c:pt>
                <c:pt idx="18">
                  <c:v>1496.3</c:v>
                </c:pt>
                <c:pt idx="19">
                  <c:v>1405</c:v>
                </c:pt>
                <c:pt idx="20">
                  <c:v>1195.2</c:v>
                </c:pt>
                <c:pt idx="21">
                  <c:v>1029.3</c:v>
                </c:pt>
                <c:pt idx="22">
                  <c:v>1156.5</c:v>
                </c:pt>
                <c:pt idx="23">
                  <c:v>1329.9</c:v>
                </c:pt>
                <c:pt idx="24">
                  <c:v>1384.8</c:v>
                </c:pt>
                <c:pt idx="25">
                  <c:v>1307.5999999999999</c:v>
                </c:pt>
                <c:pt idx="26">
                  <c:v>1134.9000000000001</c:v>
                </c:pt>
                <c:pt idx="27">
                  <c:v>1061.3</c:v>
                </c:pt>
                <c:pt idx="28">
                  <c:v>1018.7</c:v>
                </c:pt>
                <c:pt idx="29">
                  <c:v>1228.8</c:v>
                </c:pt>
                <c:pt idx="30">
                  <c:v>1527.1</c:v>
                </c:pt>
                <c:pt idx="31">
                  <c:v>1440.9</c:v>
                </c:pt>
                <c:pt idx="32">
                  <c:v>1209.9000000000001</c:v>
                </c:pt>
                <c:pt idx="33">
                  <c:v>1084.3</c:v>
                </c:pt>
                <c:pt idx="34">
                  <c:v>1157.0999999999999</c:v>
                </c:pt>
                <c:pt idx="35">
                  <c:v>1315.6</c:v>
                </c:pt>
                <c:pt idx="36" formatCode="0.0">
                  <c:v>1350.7188950757627</c:v>
                </c:pt>
                <c:pt idx="37" formatCode="0.0">
                  <c:v>1297.4392264441208</c:v>
                </c:pt>
                <c:pt idx="38" formatCode="0.0">
                  <c:v>1137.9713898683513</c:v>
                </c:pt>
                <c:pt idx="39" formatCode="0.0">
                  <c:v>1033.7065538507618</c:v>
                </c:pt>
                <c:pt idx="40" formatCode="0.0">
                  <c:v>1007.2523041945191</c:v>
                </c:pt>
                <c:pt idx="41" formatCode="0.0">
                  <c:v>1251.819142853253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B-634F-9CFB-89EAE979FEEC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lower_95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forecast!$A$2:$A$43</c:f>
              <c:numCache>
                <c:formatCode>m/yy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45682</c:v>
                </c:pt>
                <c:pt idx="37">
                  <c:v>45714</c:v>
                </c:pt>
                <c:pt idx="38">
                  <c:v>45742</c:v>
                </c:pt>
                <c:pt idx="39">
                  <c:v>45773</c:v>
                </c:pt>
                <c:pt idx="40">
                  <c:v>45803</c:v>
                </c:pt>
                <c:pt idx="41">
                  <c:v>45833</c:v>
                </c:pt>
              </c:numCache>
            </c:numRef>
          </c:cat>
          <c:val>
            <c:numRef>
              <c:f>forecast!$C$2:$C$43</c:f>
              <c:numCache>
                <c:formatCode>General</c:formatCode>
                <c:ptCount val="42"/>
                <c:pt idx="36" formatCode="0.00">
                  <c:v>1242.6613834697018</c:v>
                </c:pt>
                <c:pt idx="37" formatCode="0.00">
                  <c:v>1193.6440883285911</c:v>
                </c:pt>
                <c:pt idx="38" formatCode="0.00">
                  <c:v>1046.9336786788831</c:v>
                </c:pt>
                <c:pt idx="39" formatCode="0.00">
                  <c:v>951.01002954270086</c:v>
                </c:pt>
                <c:pt idx="40" formatCode="0.00">
                  <c:v>926.67211985895756</c:v>
                </c:pt>
                <c:pt idx="41" formatCode="0.00">
                  <c:v>1151.6736114249927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B-634F-9CFB-89EAE979FEEC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upper_95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forecast!$A$2:$A$43</c:f>
              <c:numCache>
                <c:formatCode>m/yy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45682</c:v>
                </c:pt>
                <c:pt idx="37">
                  <c:v>45714</c:v>
                </c:pt>
                <c:pt idx="38">
                  <c:v>45742</c:v>
                </c:pt>
                <c:pt idx="39">
                  <c:v>45773</c:v>
                </c:pt>
                <c:pt idx="40">
                  <c:v>45803</c:v>
                </c:pt>
                <c:pt idx="41">
                  <c:v>45833</c:v>
                </c:pt>
              </c:numCache>
            </c:numRef>
          </c:cat>
          <c:val>
            <c:numRef>
              <c:f>forecast!$D$2:$D$43</c:f>
              <c:numCache>
                <c:formatCode>General</c:formatCode>
                <c:ptCount val="42"/>
                <c:pt idx="36" formatCode="0.00">
                  <c:v>1458.7764066818238</c:v>
                </c:pt>
                <c:pt idx="37" formatCode="0.00">
                  <c:v>1401.2343645596504</c:v>
                </c:pt>
                <c:pt idx="38" formatCode="0.00">
                  <c:v>1229.0091010578194</c:v>
                </c:pt>
                <c:pt idx="39" formatCode="0.00">
                  <c:v>1116.4030781588228</c:v>
                </c:pt>
                <c:pt idx="40" formatCode="0.00">
                  <c:v>1087.8324885300806</c:v>
                </c:pt>
                <c:pt idx="41" formatCode="0.00">
                  <c:v>1351.9646742815132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B-634F-9CFB-89EAE979F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76335"/>
        <c:axId val="53978047"/>
      </c:lineChart>
      <c:dateAx>
        <c:axId val="5397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8047"/>
        <c:crosses val="autoZero"/>
        <c:auto val="1"/>
        <c:lblOffset val="100"/>
        <c:baseTimeUnit val="months"/>
      </c:dateAx>
      <c:valAx>
        <c:axId val="5397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Energy Demand 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FF9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[energy_forecast.xlsx]Charts!PivotTable2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Monthly Average Daily Demand 2022-2024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Charts!$B$3:$B$4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Charts!$B$5:$B$17</c:f>
              <c:numCache>
                <c:formatCode>General</c:formatCode>
                <c:ptCount val="12"/>
                <c:pt idx="0">
                  <c:v>1274.2</c:v>
                </c:pt>
                <c:pt idx="1">
                  <c:v>1225.3</c:v>
                </c:pt>
                <c:pt idx="2">
                  <c:v>1093.4000000000001</c:v>
                </c:pt>
                <c:pt idx="3">
                  <c:v>989.4</c:v>
                </c:pt>
                <c:pt idx="4">
                  <c:v>959.3</c:v>
                </c:pt>
                <c:pt idx="5">
                  <c:v>1223</c:v>
                </c:pt>
                <c:pt idx="6">
                  <c:v>1406.3</c:v>
                </c:pt>
                <c:pt idx="7">
                  <c:v>1357.9</c:v>
                </c:pt>
                <c:pt idx="8">
                  <c:v>1155.3</c:v>
                </c:pt>
                <c:pt idx="9">
                  <c:v>1015.8</c:v>
                </c:pt>
                <c:pt idx="10">
                  <c:v>1117.2</c:v>
                </c:pt>
                <c:pt idx="11">
                  <c:v>1242.5999999999999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7-C042-A193-046030CA21AA}"/>
            </c:ext>
          </c:extLst>
        </c:ser>
        <c:ser>
          <c:idx val="1"/>
          <c:order val="1"/>
          <c:tx>
            <c:strRef>
              <c:f>Charts!$C$3:$C$4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Charts!$C$5:$C$17</c:f>
              <c:numCache>
                <c:formatCode>General</c:formatCode>
                <c:ptCount val="12"/>
                <c:pt idx="0">
                  <c:v>1344</c:v>
                </c:pt>
                <c:pt idx="1">
                  <c:v>1312.2</c:v>
                </c:pt>
                <c:pt idx="2">
                  <c:v>1144.2</c:v>
                </c:pt>
                <c:pt idx="3">
                  <c:v>1012.8</c:v>
                </c:pt>
                <c:pt idx="4">
                  <c:v>1007.1</c:v>
                </c:pt>
                <c:pt idx="5">
                  <c:v>1258.0999999999999</c:v>
                </c:pt>
                <c:pt idx="6">
                  <c:v>1496.3</c:v>
                </c:pt>
                <c:pt idx="7">
                  <c:v>1405</c:v>
                </c:pt>
                <c:pt idx="8">
                  <c:v>1195.2</c:v>
                </c:pt>
                <c:pt idx="9">
                  <c:v>1029.3</c:v>
                </c:pt>
                <c:pt idx="10">
                  <c:v>1156.5</c:v>
                </c:pt>
                <c:pt idx="11">
                  <c:v>1329.9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57-C042-A193-046030CA21AA}"/>
            </c:ext>
          </c:extLst>
        </c:ser>
        <c:ser>
          <c:idx val="2"/>
          <c:order val="2"/>
          <c:tx>
            <c:strRef>
              <c:f>Charts!$D$3:$D$4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Charts!$A$5:$A$17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Charts!$D$5:$D$17</c:f>
              <c:numCache>
                <c:formatCode>General</c:formatCode>
                <c:ptCount val="12"/>
                <c:pt idx="0">
                  <c:v>1384.8</c:v>
                </c:pt>
                <c:pt idx="1">
                  <c:v>1307.5999999999999</c:v>
                </c:pt>
                <c:pt idx="2">
                  <c:v>1134.9000000000001</c:v>
                </c:pt>
                <c:pt idx="3">
                  <c:v>1061.3</c:v>
                </c:pt>
                <c:pt idx="4">
                  <c:v>1018.7</c:v>
                </c:pt>
                <c:pt idx="5">
                  <c:v>1228.8</c:v>
                </c:pt>
                <c:pt idx="6">
                  <c:v>1527.1</c:v>
                </c:pt>
                <c:pt idx="7">
                  <c:v>1440.9</c:v>
                </c:pt>
                <c:pt idx="8">
                  <c:v>1209.9000000000001</c:v>
                </c:pt>
                <c:pt idx="9">
                  <c:v>1084.3</c:v>
                </c:pt>
                <c:pt idx="10">
                  <c:v>1157.0999999999999</c:v>
                </c:pt>
                <c:pt idx="11">
                  <c:v>1315.6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57-C042-A193-046030CA2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83967"/>
        <c:axId val="67849071"/>
      </c:lineChart>
      <c:catAx>
        <c:axId val="67283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0983173650963289"/>
              <c:y val="0.89830634632705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9071"/>
        <c:crosses val="autoZero"/>
        <c:auto val="1"/>
        <c:lblAlgn val="ctr"/>
        <c:lblOffset val="100"/>
        <c:noMultiLvlLbl val="0"/>
      </c:catAx>
      <c:valAx>
        <c:axId val="67849071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Energy</a:t>
                </a:r>
                <a:r>
                  <a:rPr lang="en-US" sz="1400" b="1" baseline="0"/>
                  <a:t> Demand MWh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8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FF9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Seasonal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9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88B-CE43-B49E-8C9A13464B8C}"/>
              </c:ext>
            </c:extLst>
          </c:dPt>
          <c:dPt>
            <c:idx val="1"/>
            <c:invertIfNegative val="0"/>
            <c:bubble3D val="0"/>
            <c:spPr>
              <a:solidFill>
                <a:srgbClr val="FF9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8B-CE43-B49E-8C9A13464B8C}"/>
              </c:ext>
            </c:extLst>
          </c:dPt>
          <c:dPt>
            <c:idx val="2"/>
            <c:invertIfNegative val="0"/>
            <c:bubble3D val="0"/>
            <c:spPr>
              <a:solidFill>
                <a:srgbClr val="FF9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B-CE43-B49E-8C9A13464B8C}"/>
              </c:ext>
            </c:extLst>
          </c:dPt>
          <c:dPt>
            <c:idx val="3"/>
            <c:invertIfNegative val="0"/>
            <c:bubble3D val="0"/>
            <c:spPr>
              <a:solidFill>
                <a:srgbClr val="FF9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88B-CE43-B49E-8C9A13464B8C}"/>
              </c:ext>
            </c:extLst>
          </c:dPt>
          <c:cat>
            <c:strRef>
              <c:f>calculations!$A$15:$A$18</c:f>
              <c:strCache>
                <c:ptCount val="4"/>
                <c:pt idx="0">
                  <c:v>Summer</c:v>
                </c:pt>
                <c:pt idx="1">
                  <c:v>Winter</c:v>
                </c:pt>
                <c:pt idx="2">
                  <c:v>Fall</c:v>
                </c:pt>
                <c:pt idx="3">
                  <c:v>Spring</c:v>
                </c:pt>
              </c:strCache>
            </c:strRef>
          </c:cat>
          <c:val>
            <c:numRef>
              <c:f>calculations!$B$15:$B$18</c:f>
              <c:numCache>
                <c:formatCode>0.0</c:formatCode>
                <c:ptCount val="4"/>
                <c:pt idx="0">
                  <c:v>1371.4888888888888</c:v>
                </c:pt>
                <c:pt idx="1">
                  <c:v>1304.0222222222224</c:v>
                </c:pt>
                <c:pt idx="2">
                  <c:v>1124.5111111111112</c:v>
                </c:pt>
                <c:pt idx="3">
                  <c:v>1046.788888888889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B-CE43-B49E-8C9A13464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47615"/>
        <c:axId val="86870143"/>
      </c:barChart>
      <c:catAx>
        <c:axId val="111847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Season</a:t>
                </a:r>
              </a:p>
            </c:rich>
          </c:tx>
          <c:layout>
            <c:manualLayout>
              <c:xMode val="edge"/>
              <c:yMode val="edge"/>
              <c:x val="0.42064484041706779"/>
              <c:y val="0.914738562091503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70143"/>
        <c:crosses val="autoZero"/>
        <c:auto val="1"/>
        <c:lblAlgn val="ctr"/>
        <c:lblOffset val="100"/>
        <c:noMultiLvlLbl val="0"/>
      </c:catAx>
      <c:valAx>
        <c:axId val="868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Energy Demand 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4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FF93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19690</xdr:colOff>
      <xdr:row>4</xdr:row>
      <xdr:rowOff>204578</xdr:rowOff>
    </xdr:from>
    <xdr:to>
      <xdr:col>12</xdr:col>
      <xdr:colOff>101600</xdr:colOff>
      <xdr:row>34</xdr:row>
      <xdr:rowOff>152401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D9D0ADA6-D2C9-014C-5824-8C3B33238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55235</xdr:colOff>
      <xdr:row>35</xdr:row>
      <xdr:rowOff>130529</xdr:rowOff>
    </xdr:from>
    <xdr:to>
      <xdr:col>6</xdr:col>
      <xdr:colOff>1206500</xdr:colOff>
      <xdr:row>54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AD7468E-8F14-4807-13E4-DA7DEF59F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1386417</xdr:colOff>
      <xdr:row>35</xdr:row>
      <xdr:rowOff>114300</xdr:rowOff>
    </xdr:from>
    <xdr:to>
      <xdr:col>12</xdr:col>
      <xdr:colOff>63500</xdr:colOff>
      <xdr:row>54</xdr:row>
      <xdr:rowOff>139700</xdr:rowOff>
    </xdr:to>
    <xdr:graphicFrame macro="">
      <xdr:nvGraphicFramePr>
        <xdr:cNvPr id="4" name="Chart 10">
          <a:extLst>
            <a:ext uri="{FF2B5EF4-FFF2-40B4-BE49-F238E27FC236}">
              <a16:creationId xmlns:a16="http://schemas.microsoft.com/office/drawing/2014/main" id="{9313DCB9-68C4-2D0E-83A5-8B286141D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66.77045960648" createdVersion="8" refreshedVersion="8" minRefreshableVersion="3" recordCount="36" xr:uid="{346DF85B-5E1D-3843-A633-CC633F19AD39}">
  <cacheSource type="worksheet">
    <worksheetSource name="monthly_demand"/>
  </cacheSource>
  <cacheFields count="14">
    <cacheField name="year" numFmtId="0">
      <sharedItems containsSemiMixedTypes="0" containsString="0" containsNumber="1" containsInteger="1" minValue="2022" maxValue="2024"/>
    </cacheField>
    <cacheField name="month" numFmtId="1">
      <sharedItems containsSemiMixedTypes="0" containsString="0" containsNumber="1" containsInteger="1" minValue="1" maxValue="12"/>
    </cacheField>
    <cacheField name="total_demand" numFmtId="0">
      <sharedItems containsSemiMixedTypes="0" containsString="0" containsNumber="1" minValue="29682.799999999999" maxValue="47341.3"/>
    </cacheField>
    <cacheField name="avg_daily" numFmtId="0">
      <sharedItems containsSemiMixedTypes="0" containsString="0" containsNumber="1" minValue="959.3" maxValue="1527.1"/>
    </cacheField>
    <cacheField name="peak_demand" numFmtId="0">
      <sharedItems containsSemiMixedTypes="0" containsString="0" containsNumber="1" minValue="1235.7" maxValue="2170.3000000000002"/>
    </cacheField>
    <cacheField name="min_demand" numFmtId="0">
      <sharedItems containsSemiMixedTypes="0" containsString="0" containsNumber="1" minValue="643.6" maxValue="1067.8"/>
    </cacheField>
    <cacheField name="avg_temp" numFmtId="0">
      <sharedItems containsSemiMixedTypes="0" containsString="0" containsNumber="1" minValue="34.200000000000003" maxValue="91.1"/>
    </cacheField>
    <cacheField name="spike_days" numFmtId="0">
      <sharedItems containsSemiMixedTypes="0" containsString="0" containsNumber="1" containsInteger="1" minValue="0" maxValue="2"/>
    </cacheField>
    <cacheField name="days_in_month" numFmtId="0">
      <sharedItems containsSemiMixedTypes="0" containsString="0" containsNumber="1" containsInteger="1" minValue="28" maxValue="31"/>
    </cacheField>
    <cacheField name="year_month" numFmtId="171">
      <sharedItems containsSemiMixedTypes="0" containsNonDate="0" containsDate="1" containsString="0" minDate="2022-01-01T00:00:00" maxDate="2024-12-02T00:00:00" count="3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3"/>
    </cacheField>
    <cacheField name="season" numFmtId="0">
      <sharedItems/>
    </cacheField>
    <cacheField name="Months (year_month)" numFmtId="0" databaseField="0">
      <fieldGroup base="9">
        <rangePr groupBy="months" startDate="2022-01-01T00:00:00" endDate="2024-12-02T00:00:00"/>
        <groupItems count="14">
          <s v="&lt;1/1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4"/>
        </groupItems>
      </fieldGroup>
    </cacheField>
    <cacheField name="Quarters (year_month)" numFmtId="0" databaseField="0">
      <fieldGroup base="9">
        <rangePr groupBy="quarters" startDate="2022-01-01T00:00:00" endDate="2024-12-02T00:00:00"/>
        <groupItems count="6">
          <s v="&lt;1/1/22"/>
          <s v="Qtr1"/>
          <s v="Qtr2"/>
          <s v="Qtr3"/>
          <s v="Qtr4"/>
          <s v="&gt;12/2/24"/>
        </groupItems>
      </fieldGroup>
    </cacheField>
    <cacheField name="Years (year_month)" numFmtId="0" databaseField="0">
      <fieldGroup base="9">
        <rangePr groupBy="years" startDate="2022-01-01T00:00:00" endDate="2024-12-02T00:00:00"/>
        <groupItems count="5">
          <s v="&lt;1/1/22"/>
          <s v="2022"/>
          <s v="2023"/>
          <s v="2024"/>
          <s v="&gt;12/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2"/>
    <n v="1"/>
    <n v="39500.800000000003"/>
    <n v="1274.2"/>
    <n v="1628.4"/>
    <n v="905.4"/>
    <n v="34.200000000000003"/>
    <n v="1"/>
    <n v="31"/>
    <x v="0"/>
    <s v="Winter"/>
  </r>
  <r>
    <n v="2022"/>
    <n v="2"/>
    <n v="34307.199999999997"/>
    <n v="1225.3"/>
    <n v="1553.5"/>
    <n v="876.1"/>
    <n v="38.4"/>
    <n v="0"/>
    <n v="28"/>
    <x v="1"/>
    <s v="Winter"/>
  </r>
  <r>
    <n v="2022"/>
    <n v="3"/>
    <n v="33894.800000000003"/>
    <n v="1093.4000000000001"/>
    <n v="1302.7"/>
    <n v="754.6"/>
    <n v="51.4"/>
    <n v="0"/>
    <n v="31"/>
    <x v="2"/>
    <s v="Spring"/>
  </r>
  <r>
    <n v="2022"/>
    <n v="4"/>
    <n v="29682.799999999999"/>
    <n v="989.4"/>
    <n v="1260.9000000000001"/>
    <n v="743.8"/>
    <n v="62.6"/>
    <n v="1"/>
    <n v="30"/>
    <x v="3"/>
    <s v="Spring"/>
  </r>
  <r>
    <n v="2022"/>
    <n v="5"/>
    <n v="29738.7"/>
    <n v="959.3"/>
    <n v="1308.3"/>
    <n v="655"/>
    <n v="71"/>
    <n v="2"/>
    <n v="31"/>
    <x v="4"/>
    <s v="Spring"/>
  </r>
  <r>
    <n v="2022"/>
    <n v="6"/>
    <n v="36689.300000000003"/>
    <n v="1223"/>
    <n v="1440.7"/>
    <n v="878.6"/>
    <n v="82.1"/>
    <n v="0"/>
    <n v="30"/>
    <x v="5"/>
    <s v="Summer"/>
  </r>
  <r>
    <n v="2022"/>
    <n v="7"/>
    <n v="43595.7"/>
    <n v="1406.3"/>
    <n v="1783.4"/>
    <n v="1042.7"/>
    <n v="91.1"/>
    <n v="0"/>
    <n v="31"/>
    <x v="6"/>
    <s v="Summer"/>
  </r>
  <r>
    <n v="2022"/>
    <n v="8"/>
    <n v="42095.6"/>
    <n v="1357.9"/>
    <n v="1655.2"/>
    <n v="1062.8"/>
    <n v="86.8"/>
    <n v="0"/>
    <n v="31"/>
    <x v="7"/>
    <s v="Summer"/>
  </r>
  <r>
    <n v="2022"/>
    <n v="9"/>
    <n v="34658.5"/>
    <n v="1155.3"/>
    <n v="1675.6"/>
    <n v="798.2"/>
    <n v="76.900000000000006"/>
    <n v="1"/>
    <n v="30"/>
    <x v="8"/>
    <s v="Fall"/>
  </r>
  <r>
    <n v="2022"/>
    <n v="10"/>
    <n v="31489.8"/>
    <n v="1015.8"/>
    <n v="1409.5"/>
    <n v="802.4"/>
    <n v="63.9"/>
    <n v="2"/>
    <n v="31"/>
    <x v="9"/>
    <s v="Fall"/>
  </r>
  <r>
    <n v="2022"/>
    <n v="11"/>
    <n v="33516.9"/>
    <n v="1117.2"/>
    <n v="1443.2"/>
    <n v="693.1"/>
    <n v="50.5"/>
    <n v="0"/>
    <n v="30"/>
    <x v="10"/>
    <s v="Fall"/>
  </r>
  <r>
    <n v="2022"/>
    <n v="12"/>
    <n v="38520.1"/>
    <n v="1242.5999999999999"/>
    <n v="1648.4"/>
    <n v="897.4"/>
    <n v="38.799999999999997"/>
    <n v="1"/>
    <n v="31"/>
    <x v="11"/>
    <s v="Winter"/>
  </r>
  <r>
    <n v="2023"/>
    <n v="1"/>
    <n v="41664.300000000003"/>
    <n v="1344"/>
    <n v="1739.6"/>
    <n v="984.4"/>
    <n v="35.1"/>
    <n v="1"/>
    <n v="31"/>
    <x v="12"/>
    <s v="Winter"/>
  </r>
  <r>
    <n v="2023"/>
    <n v="2"/>
    <n v="36741.300000000003"/>
    <n v="1312.2"/>
    <n v="2013.7"/>
    <n v="926.7"/>
    <n v="38.200000000000003"/>
    <n v="1"/>
    <n v="28"/>
    <x v="13"/>
    <s v="Winter"/>
  </r>
  <r>
    <n v="2023"/>
    <n v="3"/>
    <n v="35470.1"/>
    <n v="1144.2"/>
    <n v="1412.7"/>
    <n v="832"/>
    <n v="52.1"/>
    <n v="0"/>
    <n v="31"/>
    <x v="14"/>
    <s v="Spring"/>
  </r>
  <r>
    <n v="2023"/>
    <n v="4"/>
    <n v="30384.2"/>
    <n v="1012.8"/>
    <n v="1393.8"/>
    <n v="726.3"/>
    <n v="63"/>
    <n v="1"/>
    <n v="30"/>
    <x v="15"/>
    <s v="Spring"/>
  </r>
  <r>
    <n v="2023"/>
    <n v="5"/>
    <n v="31219.3"/>
    <n v="1007.1"/>
    <n v="1504.6"/>
    <n v="708.5"/>
    <n v="70.900000000000006"/>
    <n v="1"/>
    <n v="31"/>
    <x v="16"/>
    <s v="Spring"/>
  </r>
  <r>
    <n v="2023"/>
    <n v="6"/>
    <n v="37742.6"/>
    <n v="1258.0999999999999"/>
    <n v="1497.2"/>
    <n v="882.6"/>
    <n v="82"/>
    <n v="0"/>
    <n v="30"/>
    <x v="17"/>
    <s v="Summer"/>
  </r>
  <r>
    <n v="2023"/>
    <n v="7"/>
    <n v="46385.9"/>
    <n v="1496.3"/>
    <n v="1869.2"/>
    <n v="1067.8"/>
    <n v="88.8"/>
    <n v="0"/>
    <n v="31"/>
    <x v="18"/>
    <s v="Summer"/>
  </r>
  <r>
    <n v="2023"/>
    <n v="8"/>
    <n v="43554.3"/>
    <n v="1405"/>
    <n v="2043.9"/>
    <n v="1001.9"/>
    <n v="89.6"/>
    <n v="1"/>
    <n v="31"/>
    <x v="19"/>
    <s v="Summer"/>
  </r>
  <r>
    <n v="2023"/>
    <n v="9"/>
    <n v="35855.9"/>
    <n v="1195.2"/>
    <n v="1456.6"/>
    <n v="857.6"/>
    <n v="78.5"/>
    <n v="1"/>
    <n v="30"/>
    <x v="20"/>
    <s v="Fall"/>
  </r>
  <r>
    <n v="2023"/>
    <n v="10"/>
    <n v="31909.599999999999"/>
    <n v="1029.3"/>
    <n v="1235.7"/>
    <n v="775.6"/>
    <n v="64.3"/>
    <n v="0"/>
    <n v="31"/>
    <x v="21"/>
    <s v="Fall"/>
  </r>
  <r>
    <n v="2023"/>
    <n v="11"/>
    <n v="34696.1"/>
    <n v="1156.5"/>
    <n v="1545.5"/>
    <n v="723.5"/>
    <n v="49.4"/>
    <n v="1"/>
    <n v="30"/>
    <x v="22"/>
    <s v="Fall"/>
  </r>
  <r>
    <n v="2023"/>
    <n v="12"/>
    <n v="41226.300000000003"/>
    <n v="1329.9"/>
    <n v="1598.9"/>
    <n v="989.1"/>
    <n v="39.4"/>
    <n v="0"/>
    <n v="31"/>
    <x v="23"/>
    <s v="Winter"/>
  </r>
  <r>
    <n v="2024"/>
    <n v="1"/>
    <n v="42930"/>
    <n v="1384.8"/>
    <n v="1670.9"/>
    <n v="965"/>
    <n v="36.299999999999997"/>
    <n v="0"/>
    <n v="31"/>
    <x v="24"/>
    <s v="Winter"/>
  </r>
  <r>
    <n v="2024"/>
    <n v="2"/>
    <n v="37920.199999999997"/>
    <n v="1307.5999999999999"/>
    <n v="1573.8"/>
    <n v="951"/>
    <n v="36.700000000000003"/>
    <n v="0"/>
    <n v="29"/>
    <x v="25"/>
    <s v="Winter"/>
  </r>
  <r>
    <n v="2024"/>
    <n v="3"/>
    <n v="35181.300000000003"/>
    <n v="1134.9000000000001"/>
    <n v="1305"/>
    <n v="874.2"/>
    <n v="50.7"/>
    <n v="0"/>
    <n v="31"/>
    <x v="26"/>
    <s v="Spring"/>
  </r>
  <r>
    <n v="2024"/>
    <n v="4"/>
    <n v="31840.2"/>
    <n v="1061.3"/>
    <n v="1285.8"/>
    <n v="767.6"/>
    <n v="63.1"/>
    <n v="0"/>
    <n v="30"/>
    <x v="27"/>
    <s v="Spring"/>
  </r>
  <r>
    <n v="2024"/>
    <n v="5"/>
    <n v="31580.3"/>
    <n v="1018.7"/>
    <n v="1454.4"/>
    <n v="643.6"/>
    <n v="73.5"/>
    <n v="1"/>
    <n v="31"/>
    <x v="28"/>
    <s v="Spring"/>
  </r>
  <r>
    <n v="2024"/>
    <n v="6"/>
    <n v="36863.199999999997"/>
    <n v="1228.8"/>
    <n v="1596.1"/>
    <n v="886.3"/>
    <n v="81.099999999999994"/>
    <n v="0"/>
    <n v="30"/>
    <x v="29"/>
    <s v="Summer"/>
  </r>
  <r>
    <n v="2024"/>
    <n v="7"/>
    <n v="47341.3"/>
    <n v="1527.1"/>
    <n v="2170.3000000000002"/>
    <n v="1033.5999999999999"/>
    <n v="90.3"/>
    <n v="1"/>
    <n v="31"/>
    <x v="30"/>
    <s v="Summer"/>
  </r>
  <r>
    <n v="2024"/>
    <n v="8"/>
    <n v="44667.7"/>
    <n v="1440.9"/>
    <n v="1835.1"/>
    <n v="969.7"/>
    <n v="88.3"/>
    <n v="0"/>
    <n v="31"/>
    <x v="31"/>
    <s v="Summer"/>
  </r>
  <r>
    <n v="2024"/>
    <n v="9"/>
    <n v="36297.199999999997"/>
    <n v="1209.9000000000001"/>
    <n v="1436.4"/>
    <n v="830.1"/>
    <n v="79.099999999999994"/>
    <n v="0"/>
    <n v="30"/>
    <x v="32"/>
    <s v="Fall"/>
  </r>
  <r>
    <n v="2024"/>
    <n v="10"/>
    <n v="33613.800000000003"/>
    <n v="1084.3"/>
    <n v="1309.5"/>
    <n v="819.5"/>
    <n v="63.3"/>
    <n v="2"/>
    <n v="31"/>
    <x v="33"/>
    <s v="Fall"/>
  </r>
  <r>
    <n v="2024"/>
    <n v="11"/>
    <n v="34712.400000000001"/>
    <n v="1157.0999999999999"/>
    <n v="1528.7"/>
    <n v="872.3"/>
    <n v="50.4"/>
    <n v="0"/>
    <n v="30"/>
    <x v="34"/>
    <s v="Fall"/>
  </r>
  <r>
    <n v="2024"/>
    <n v="12"/>
    <n v="40784.800000000003"/>
    <n v="1315.6"/>
    <n v="1705.5"/>
    <n v="917.1"/>
    <n v="39"/>
    <n v="0"/>
    <n v="31"/>
    <x v="35"/>
    <s v="Win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751CF-2512-E342-A214-84F1F947200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7" firstHeaderRow="1" firstDataRow="2" firstDataCol="1"/>
  <pivotFields count="14">
    <pivotField showAll="0"/>
    <pivotField numFmtId="1" showAll="0"/>
    <pivotField showAll="0"/>
    <pivotField dataField="1" showAll="0"/>
    <pivotField showAll="0"/>
    <pivotField showAll="0"/>
    <pivotField showAll="0"/>
    <pivotField showAll="0"/>
    <pivotField showAll="0"/>
    <pivotField numFmtId="171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3"/>
  </colFields>
  <colItems count="4">
    <i>
      <x v="1"/>
    </i>
    <i>
      <x v="2"/>
    </i>
    <i>
      <x v="3"/>
    </i>
    <i t="grand">
      <x/>
    </i>
  </colItems>
  <dataFields count="1">
    <dataField name="Average of avg_daily" fld="3" subtotal="average" baseField="0" baseItem="0"/>
  </dataFields>
  <chartFormats count="3"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5C34BF-6BB8-B94A-A5E7-BC8200AC4489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year" tableColumnId="1"/>
      <queryTableField id="2" name="month" tableColumnId="2"/>
      <queryTableField id="3" name="total_demand" tableColumnId="3"/>
      <queryTableField id="4" name="avg_daily" tableColumnId="4"/>
      <queryTableField id="5" name="peak_demand" tableColumnId="5"/>
      <queryTableField id="6" name="min_demand" tableColumnId="6"/>
      <queryTableField id="7" name="avg_temp" tableColumnId="7"/>
      <queryTableField id="8" name="spike_days" tableColumnId="8"/>
      <queryTableField id="9" name="days_in_month" tableColumnId="9"/>
      <queryTableField id="10" name="year_month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EFD1C3-5C29-4C4C-A3CD-5338161503C9}" name="monthly_demand" displayName="monthly_demand" ref="A1:K37" tableType="queryTable" totalsRowShown="0">
  <autoFilter ref="A1:K37" xr:uid="{4EEFD1C3-5C29-4C4C-A3CD-5338161503C9}"/>
  <tableColumns count="11">
    <tableColumn id="1" xr3:uid="{64B71FB1-BCED-174D-8AF1-44CA4DCF2E7A}" uniqueName="1" name="year" queryTableFieldId="1"/>
    <tableColumn id="2" xr3:uid="{87D3E473-FDC4-454D-AD0D-5A9D518CB858}" uniqueName="2" name="month" queryTableFieldId="2" dataDxfId="5"/>
    <tableColumn id="3" xr3:uid="{3A9754E1-D617-D14C-AB34-DBB0E9F4C99A}" uniqueName="3" name="total_demand" queryTableFieldId="3"/>
    <tableColumn id="4" xr3:uid="{F4EDDABD-A846-794F-8083-D6B5E5E91211}" uniqueName="4" name="avg_daily" queryTableFieldId="4"/>
    <tableColumn id="5" xr3:uid="{073A722A-0B3E-3B41-8B71-EA04C8290E56}" uniqueName="5" name="peak_demand" queryTableFieldId="5"/>
    <tableColumn id="6" xr3:uid="{4B0F2A27-E967-3E49-B287-E37997B51F3D}" uniqueName="6" name="min_demand" queryTableFieldId="6"/>
    <tableColumn id="7" xr3:uid="{24161710-D76E-8F43-957C-355F7F10556B}" uniqueName="7" name="avg_temp" queryTableFieldId="7"/>
    <tableColumn id="8" xr3:uid="{87292818-7581-2047-B5FE-A7EBA17B783D}" uniqueName="8" name="spike_days" queryTableFieldId="8"/>
    <tableColumn id="9" xr3:uid="{C7950C99-2CA5-0148-AFBB-6BBF4BEF2FB9}" uniqueName="9" name="days_in_month" queryTableFieldId="9"/>
    <tableColumn id="10" xr3:uid="{0D24D358-F7EE-0340-A5D8-DF141B88ED38}" uniqueName="10" name="year_month" queryTableFieldId="10" dataDxfId="2"/>
    <tableColumn id="11" xr3:uid="{8F57E8B7-8AE9-9442-979C-16A5D868261A}" uniqueName="11" name="season" queryTableFieldId="11" dataDxfId="4">
      <calculatedColumnFormula array="1">_xlfn.SWITCH(monthly_demand[[#This Row],[month]], 12,"Winter",1,"Winter",2,"Winter", 3,"Spring",4,"Spring",5,"Spring", 6,"Summer",7,"Summer",8,"Summer", 9,"Fall",10,"Fall",11,"Fall", 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6E749D-600B-1B4C-8FFA-33BB9E8D2B4D}" name="Table2" displayName="Table2" ref="A1:E43" totalsRowShown="0">
  <autoFilter ref="A1:E43" xr:uid="{8D6E749D-600B-1B4C-8FFA-33BB9E8D2B4D}"/>
  <tableColumns count="5">
    <tableColumn id="1" xr3:uid="{679606EE-4587-1149-93CD-7D6A995BC25D}" name="year_month" dataDxfId="3"/>
    <tableColumn id="2" xr3:uid="{51CB9A83-8B73-924B-A02A-74A8DB3A8E49}" name="avg_daily"/>
    <tableColumn id="3" xr3:uid="{970F61EC-0CDF-5947-A12E-FB26D3B7F286}" name="lower_95" dataDxfId="1">
      <calculatedColumnFormula>B2*0.92</calculatedColumnFormula>
    </tableColumn>
    <tableColumn id="4" xr3:uid="{53F5F017-1DD1-4C4F-AF0F-74E88BB8E541}" name="upper_95" dataDxfId="0">
      <calculatedColumnFormula>B2*1.08</calculatedColumnFormula>
    </tableColumn>
    <tableColumn id="5" xr3:uid="{3D120B05-95D7-6E45-B509-05EDCFBEBDAF}" name="typ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4807-1B01-BB4F-8361-FD7892B0456A}">
  <dimension ref="A1:K37"/>
  <sheetViews>
    <sheetView workbookViewId="0">
      <selection activeCell="F59" sqref="F59"/>
    </sheetView>
  </sheetViews>
  <sheetFormatPr baseColWidth="10" defaultRowHeight="16" x14ac:dyDescent="0.2"/>
  <cols>
    <col min="1" max="1" width="7.1640625" bestFit="1" customWidth="1"/>
    <col min="2" max="2" width="9" style="5" bestFit="1" customWidth="1"/>
    <col min="3" max="3" width="15" bestFit="1" customWidth="1"/>
    <col min="4" max="4" width="11.1640625" bestFit="1" customWidth="1"/>
    <col min="5" max="5" width="15.1640625" bestFit="1" customWidth="1"/>
    <col min="6" max="6" width="14.33203125" bestFit="1" customWidth="1"/>
    <col min="7" max="7" width="11.6640625" bestFit="1" customWidth="1"/>
    <col min="8" max="8" width="12.83203125" bestFit="1" customWidth="1"/>
    <col min="9" max="9" width="16" bestFit="1" customWidth="1"/>
    <col min="10" max="10" width="13.33203125" style="8" bestFit="1" customWidth="1"/>
    <col min="11" max="11" width="13.1640625" customWidth="1"/>
  </cols>
  <sheetData>
    <row r="1" spans="1:11" x14ac:dyDescent="0.2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8" t="s">
        <v>9</v>
      </c>
      <c r="K1" t="s">
        <v>31</v>
      </c>
    </row>
    <row r="2" spans="1:11" x14ac:dyDescent="0.2">
      <c r="A2">
        <v>2022</v>
      </c>
      <c r="B2" s="5">
        <v>1</v>
      </c>
      <c r="C2">
        <v>39500.800000000003</v>
      </c>
      <c r="D2">
        <v>1274.2</v>
      </c>
      <c r="E2">
        <v>1628.4</v>
      </c>
      <c r="F2">
        <v>905.4</v>
      </c>
      <c r="G2">
        <v>34.200000000000003</v>
      </c>
      <c r="H2">
        <v>1</v>
      </c>
      <c r="I2">
        <v>31</v>
      </c>
      <c r="J2" s="8">
        <v>44562</v>
      </c>
      <c r="K2" t="str" cm="1">
        <f t="array" ref="K2">_xlfn.SWITCH(monthly_demand[[#This Row],[month]], 12,"Winter",1,"Winter",2,"Winter", 3,"Spring",4,"Spring",5,"Spring", 6,"Summer",7,"Summer",8,"Summer", 9,"Fall",10,"Fall",11,"Fall", "")</f>
        <v>Winter</v>
      </c>
    </row>
    <row r="3" spans="1:11" x14ac:dyDescent="0.2">
      <c r="A3">
        <v>2022</v>
      </c>
      <c r="B3" s="5">
        <v>2</v>
      </c>
      <c r="C3">
        <v>34307.199999999997</v>
      </c>
      <c r="D3">
        <v>1225.3</v>
      </c>
      <c r="E3">
        <v>1553.5</v>
      </c>
      <c r="F3">
        <v>876.1</v>
      </c>
      <c r="G3">
        <v>38.4</v>
      </c>
      <c r="H3">
        <v>0</v>
      </c>
      <c r="I3">
        <v>28</v>
      </c>
      <c r="J3" s="8">
        <v>44593</v>
      </c>
      <c r="K3" t="str" cm="1">
        <f t="array" ref="K3">_xlfn.SWITCH(monthly_demand[[#This Row],[month]], 12,"Winter",1,"Winter",2,"Winter", 3,"Spring",4,"Spring",5,"Spring", 6,"Summer",7,"Summer",8,"Summer", 9,"Fall",10,"Fall",11,"Fall", "")</f>
        <v>Winter</v>
      </c>
    </row>
    <row r="4" spans="1:11" x14ac:dyDescent="0.2">
      <c r="A4">
        <v>2022</v>
      </c>
      <c r="B4" s="5">
        <v>3</v>
      </c>
      <c r="C4">
        <v>33894.800000000003</v>
      </c>
      <c r="D4">
        <v>1093.4000000000001</v>
      </c>
      <c r="E4">
        <v>1302.7</v>
      </c>
      <c r="F4">
        <v>754.6</v>
      </c>
      <c r="G4">
        <v>51.4</v>
      </c>
      <c r="H4">
        <v>0</v>
      </c>
      <c r="I4">
        <v>31</v>
      </c>
      <c r="J4" s="8">
        <v>44621</v>
      </c>
      <c r="K4" t="str" cm="1">
        <f t="array" ref="K4">_xlfn.SWITCH(monthly_demand[[#This Row],[month]], 12,"Winter",1,"Winter",2,"Winter", 3,"Spring",4,"Spring",5,"Spring", 6,"Summer",7,"Summer",8,"Summer", 9,"Fall",10,"Fall",11,"Fall", "")</f>
        <v>Spring</v>
      </c>
    </row>
    <row r="5" spans="1:11" x14ac:dyDescent="0.2">
      <c r="A5">
        <v>2022</v>
      </c>
      <c r="B5" s="5">
        <v>4</v>
      </c>
      <c r="C5">
        <v>29682.799999999999</v>
      </c>
      <c r="D5">
        <v>989.4</v>
      </c>
      <c r="E5">
        <v>1260.9000000000001</v>
      </c>
      <c r="F5">
        <v>743.8</v>
      </c>
      <c r="G5">
        <v>62.6</v>
      </c>
      <c r="H5">
        <v>1</v>
      </c>
      <c r="I5">
        <v>30</v>
      </c>
      <c r="J5" s="8">
        <v>44652</v>
      </c>
      <c r="K5" t="str" cm="1">
        <f t="array" ref="K5">_xlfn.SWITCH(monthly_demand[[#This Row],[month]], 12,"Winter",1,"Winter",2,"Winter", 3,"Spring",4,"Spring",5,"Spring", 6,"Summer",7,"Summer",8,"Summer", 9,"Fall",10,"Fall",11,"Fall", "")</f>
        <v>Spring</v>
      </c>
    </row>
    <row r="6" spans="1:11" x14ac:dyDescent="0.2">
      <c r="A6">
        <v>2022</v>
      </c>
      <c r="B6" s="5">
        <v>5</v>
      </c>
      <c r="C6">
        <v>29738.7</v>
      </c>
      <c r="D6">
        <v>959.3</v>
      </c>
      <c r="E6">
        <v>1308.3</v>
      </c>
      <c r="F6">
        <v>655</v>
      </c>
      <c r="G6">
        <v>71</v>
      </c>
      <c r="H6">
        <v>2</v>
      </c>
      <c r="I6">
        <v>31</v>
      </c>
      <c r="J6" s="8">
        <v>44682</v>
      </c>
      <c r="K6" t="str" cm="1">
        <f t="array" ref="K6">_xlfn.SWITCH(monthly_demand[[#This Row],[month]], 12,"Winter",1,"Winter",2,"Winter", 3,"Spring",4,"Spring",5,"Spring", 6,"Summer",7,"Summer",8,"Summer", 9,"Fall",10,"Fall",11,"Fall", "")</f>
        <v>Spring</v>
      </c>
    </row>
    <row r="7" spans="1:11" x14ac:dyDescent="0.2">
      <c r="A7">
        <v>2022</v>
      </c>
      <c r="B7" s="5">
        <v>6</v>
      </c>
      <c r="C7">
        <v>36689.300000000003</v>
      </c>
      <c r="D7">
        <v>1223</v>
      </c>
      <c r="E7">
        <v>1440.7</v>
      </c>
      <c r="F7">
        <v>878.6</v>
      </c>
      <c r="G7">
        <v>82.1</v>
      </c>
      <c r="H7">
        <v>0</v>
      </c>
      <c r="I7">
        <v>30</v>
      </c>
      <c r="J7" s="8">
        <v>44713</v>
      </c>
      <c r="K7" t="str" cm="1">
        <f t="array" ref="K7">_xlfn.SWITCH(monthly_demand[[#This Row],[month]], 12,"Winter",1,"Winter",2,"Winter", 3,"Spring",4,"Spring",5,"Spring", 6,"Summer",7,"Summer",8,"Summer", 9,"Fall",10,"Fall",11,"Fall", "")</f>
        <v>Summer</v>
      </c>
    </row>
    <row r="8" spans="1:11" x14ac:dyDescent="0.2">
      <c r="A8">
        <v>2022</v>
      </c>
      <c r="B8" s="5">
        <v>7</v>
      </c>
      <c r="C8">
        <v>43595.7</v>
      </c>
      <c r="D8">
        <v>1406.3</v>
      </c>
      <c r="E8">
        <v>1783.4</v>
      </c>
      <c r="F8">
        <v>1042.7</v>
      </c>
      <c r="G8">
        <v>91.1</v>
      </c>
      <c r="H8">
        <v>0</v>
      </c>
      <c r="I8">
        <v>31</v>
      </c>
      <c r="J8" s="8">
        <v>44743</v>
      </c>
      <c r="K8" t="str" cm="1">
        <f t="array" ref="K8">_xlfn.SWITCH(monthly_demand[[#This Row],[month]], 12,"Winter",1,"Winter",2,"Winter", 3,"Spring",4,"Spring",5,"Spring", 6,"Summer",7,"Summer",8,"Summer", 9,"Fall",10,"Fall",11,"Fall", "")</f>
        <v>Summer</v>
      </c>
    </row>
    <row r="9" spans="1:11" x14ac:dyDescent="0.2">
      <c r="A9">
        <v>2022</v>
      </c>
      <c r="B9" s="5">
        <v>8</v>
      </c>
      <c r="C9">
        <v>42095.6</v>
      </c>
      <c r="D9">
        <v>1357.9</v>
      </c>
      <c r="E9">
        <v>1655.2</v>
      </c>
      <c r="F9">
        <v>1062.8</v>
      </c>
      <c r="G9">
        <v>86.8</v>
      </c>
      <c r="H9">
        <v>0</v>
      </c>
      <c r="I9">
        <v>31</v>
      </c>
      <c r="J9" s="8">
        <v>44774</v>
      </c>
      <c r="K9" t="str" cm="1">
        <f t="array" ref="K9">_xlfn.SWITCH(monthly_demand[[#This Row],[month]], 12,"Winter",1,"Winter",2,"Winter", 3,"Spring",4,"Spring",5,"Spring", 6,"Summer",7,"Summer",8,"Summer", 9,"Fall",10,"Fall",11,"Fall", "")</f>
        <v>Summer</v>
      </c>
    </row>
    <row r="10" spans="1:11" x14ac:dyDescent="0.2">
      <c r="A10">
        <v>2022</v>
      </c>
      <c r="B10" s="5">
        <v>9</v>
      </c>
      <c r="C10">
        <v>34658.5</v>
      </c>
      <c r="D10">
        <v>1155.3</v>
      </c>
      <c r="E10">
        <v>1675.6</v>
      </c>
      <c r="F10">
        <v>798.2</v>
      </c>
      <c r="G10">
        <v>76.900000000000006</v>
      </c>
      <c r="H10">
        <v>1</v>
      </c>
      <c r="I10">
        <v>30</v>
      </c>
      <c r="J10" s="8">
        <v>44805</v>
      </c>
      <c r="K10" t="str" cm="1">
        <f t="array" ref="K10">_xlfn.SWITCH(monthly_demand[[#This Row],[month]], 12,"Winter",1,"Winter",2,"Winter", 3,"Spring",4,"Spring",5,"Spring", 6,"Summer",7,"Summer",8,"Summer", 9,"Fall",10,"Fall",11,"Fall", "")</f>
        <v>Fall</v>
      </c>
    </row>
    <row r="11" spans="1:11" x14ac:dyDescent="0.2">
      <c r="A11">
        <v>2022</v>
      </c>
      <c r="B11" s="5">
        <v>10</v>
      </c>
      <c r="C11">
        <v>31489.8</v>
      </c>
      <c r="D11">
        <v>1015.8</v>
      </c>
      <c r="E11">
        <v>1409.5</v>
      </c>
      <c r="F11">
        <v>802.4</v>
      </c>
      <c r="G11">
        <v>63.9</v>
      </c>
      <c r="H11">
        <v>2</v>
      </c>
      <c r="I11">
        <v>31</v>
      </c>
      <c r="J11" s="8">
        <v>44835</v>
      </c>
      <c r="K11" t="str" cm="1">
        <f t="array" ref="K11">_xlfn.SWITCH(monthly_demand[[#This Row],[month]], 12,"Winter",1,"Winter",2,"Winter", 3,"Spring",4,"Spring",5,"Spring", 6,"Summer",7,"Summer",8,"Summer", 9,"Fall",10,"Fall",11,"Fall", "")</f>
        <v>Fall</v>
      </c>
    </row>
    <row r="12" spans="1:11" x14ac:dyDescent="0.2">
      <c r="A12">
        <v>2022</v>
      </c>
      <c r="B12" s="5">
        <v>11</v>
      </c>
      <c r="C12">
        <v>33516.9</v>
      </c>
      <c r="D12">
        <v>1117.2</v>
      </c>
      <c r="E12">
        <v>1443.2</v>
      </c>
      <c r="F12">
        <v>693.1</v>
      </c>
      <c r="G12">
        <v>50.5</v>
      </c>
      <c r="H12">
        <v>0</v>
      </c>
      <c r="I12">
        <v>30</v>
      </c>
      <c r="J12" s="8">
        <v>44866</v>
      </c>
      <c r="K12" t="str" cm="1">
        <f t="array" ref="K12">_xlfn.SWITCH(monthly_demand[[#This Row],[month]], 12,"Winter",1,"Winter",2,"Winter", 3,"Spring",4,"Spring",5,"Spring", 6,"Summer",7,"Summer",8,"Summer", 9,"Fall",10,"Fall",11,"Fall", "")</f>
        <v>Fall</v>
      </c>
    </row>
    <row r="13" spans="1:11" x14ac:dyDescent="0.2">
      <c r="A13">
        <v>2022</v>
      </c>
      <c r="B13" s="5">
        <v>12</v>
      </c>
      <c r="C13">
        <v>38520.1</v>
      </c>
      <c r="D13">
        <v>1242.5999999999999</v>
      </c>
      <c r="E13">
        <v>1648.4</v>
      </c>
      <c r="F13">
        <v>897.4</v>
      </c>
      <c r="G13">
        <v>38.799999999999997</v>
      </c>
      <c r="H13">
        <v>1</v>
      </c>
      <c r="I13">
        <v>31</v>
      </c>
      <c r="J13" s="8">
        <v>44896</v>
      </c>
      <c r="K13" t="str" cm="1">
        <f t="array" ref="K13">_xlfn.SWITCH(monthly_demand[[#This Row],[month]], 12,"Winter",1,"Winter",2,"Winter", 3,"Spring",4,"Spring",5,"Spring", 6,"Summer",7,"Summer",8,"Summer", 9,"Fall",10,"Fall",11,"Fall", "")</f>
        <v>Winter</v>
      </c>
    </row>
    <row r="14" spans="1:11" x14ac:dyDescent="0.2">
      <c r="A14">
        <v>2023</v>
      </c>
      <c r="B14" s="5">
        <v>1</v>
      </c>
      <c r="C14">
        <v>41664.300000000003</v>
      </c>
      <c r="D14">
        <v>1344</v>
      </c>
      <c r="E14">
        <v>1739.6</v>
      </c>
      <c r="F14">
        <v>984.4</v>
      </c>
      <c r="G14">
        <v>35.1</v>
      </c>
      <c r="H14">
        <v>1</v>
      </c>
      <c r="I14">
        <v>31</v>
      </c>
      <c r="J14" s="8">
        <v>44927</v>
      </c>
      <c r="K14" t="str" cm="1">
        <f t="array" ref="K14">_xlfn.SWITCH(monthly_demand[[#This Row],[month]], 12,"Winter",1,"Winter",2,"Winter", 3,"Spring",4,"Spring",5,"Spring", 6,"Summer",7,"Summer",8,"Summer", 9,"Fall",10,"Fall",11,"Fall", "")</f>
        <v>Winter</v>
      </c>
    </row>
    <row r="15" spans="1:11" x14ac:dyDescent="0.2">
      <c r="A15">
        <v>2023</v>
      </c>
      <c r="B15" s="5">
        <v>2</v>
      </c>
      <c r="C15">
        <v>36741.300000000003</v>
      </c>
      <c r="D15">
        <v>1312.2</v>
      </c>
      <c r="E15">
        <v>2013.7</v>
      </c>
      <c r="F15">
        <v>926.7</v>
      </c>
      <c r="G15">
        <v>38.200000000000003</v>
      </c>
      <c r="H15">
        <v>1</v>
      </c>
      <c r="I15">
        <v>28</v>
      </c>
      <c r="J15" s="8">
        <v>44958</v>
      </c>
      <c r="K15" t="str" cm="1">
        <f t="array" ref="K15">_xlfn.SWITCH(monthly_demand[[#This Row],[month]], 12,"Winter",1,"Winter",2,"Winter", 3,"Spring",4,"Spring",5,"Spring", 6,"Summer",7,"Summer",8,"Summer", 9,"Fall",10,"Fall",11,"Fall", "")</f>
        <v>Winter</v>
      </c>
    </row>
    <row r="16" spans="1:11" x14ac:dyDescent="0.2">
      <c r="A16">
        <v>2023</v>
      </c>
      <c r="B16" s="5">
        <v>3</v>
      </c>
      <c r="C16">
        <v>35470.1</v>
      </c>
      <c r="D16">
        <v>1144.2</v>
      </c>
      <c r="E16">
        <v>1412.7</v>
      </c>
      <c r="F16">
        <v>832</v>
      </c>
      <c r="G16">
        <v>52.1</v>
      </c>
      <c r="H16">
        <v>0</v>
      </c>
      <c r="I16">
        <v>31</v>
      </c>
      <c r="J16" s="8">
        <v>44986</v>
      </c>
      <c r="K16" t="str" cm="1">
        <f t="array" ref="K16">_xlfn.SWITCH(monthly_demand[[#This Row],[month]], 12,"Winter",1,"Winter",2,"Winter", 3,"Spring",4,"Spring",5,"Spring", 6,"Summer",7,"Summer",8,"Summer", 9,"Fall",10,"Fall",11,"Fall", "")</f>
        <v>Spring</v>
      </c>
    </row>
    <row r="17" spans="1:11" x14ac:dyDescent="0.2">
      <c r="A17">
        <v>2023</v>
      </c>
      <c r="B17" s="5">
        <v>4</v>
      </c>
      <c r="C17">
        <v>30384.2</v>
      </c>
      <c r="D17">
        <v>1012.8</v>
      </c>
      <c r="E17">
        <v>1393.8</v>
      </c>
      <c r="F17">
        <v>726.3</v>
      </c>
      <c r="G17">
        <v>63</v>
      </c>
      <c r="H17">
        <v>1</v>
      </c>
      <c r="I17">
        <v>30</v>
      </c>
      <c r="J17" s="8">
        <v>45017</v>
      </c>
      <c r="K17" t="str" cm="1">
        <f t="array" ref="K17">_xlfn.SWITCH(monthly_demand[[#This Row],[month]], 12,"Winter",1,"Winter",2,"Winter", 3,"Spring",4,"Spring",5,"Spring", 6,"Summer",7,"Summer",8,"Summer", 9,"Fall",10,"Fall",11,"Fall", "")</f>
        <v>Spring</v>
      </c>
    </row>
    <row r="18" spans="1:11" x14ac:dyDescent="0.2">
      <c r="A18">
        <v>2023</v>
      </c>
      <c r="B18" s="5">
        <v>5</v>
      </c>
      <c r="C18">
        <v>31219.3</v>
      </c>
      <c r="D18">
        <v>1007.1</v>
      </c>
      <c r="E18">
        <v>1504.6</v>
      </c>
      <c r="F18">
        <v>708.5</v>
      </c>
      <c r="G18">
        <v>70.900000000000006</v>
      </c>
      <c r="H18">
        <v>1</v>
      </c>
      <c r="I18">
        <v>31</v>
      </c>
      <c r="J18" s="8">
        <v>45047</v>
      </c>
      <c r="K18" t="str" cm="1">
        <f t="array" ref="K18">_xlfn.SWITCH(monthly_demand[[#This Row],[month]], 12,"Winter",1,"Winter",2,"Winter", 3,"Spring",4,"Spring",5,"Spring", 6,"Summer",7,"Summer",8,"Summer", 9,"Fall",10,"Fall",11,"Fall", "")</f>
        <v>Spring</v>
      </c>
    </row>
    <row r="19" spans="1:11" x14ac:dyDescent="0.2">
      <c r="A19">
        <v>2023</v>
      </c>
      <c r="B19" s="5">
        <v>6</v>
      </c>
      <c r="C19">
        <v>37742.6</v>
      </c>
      <c r="D19">
        <v>1258.0999999999999</v>
      </c>
      <c r="E19">
        <v>1497.2</v>
      </c>
      <c r="F19">
        <v>882.6</v>
      </c>
      <c r="G19">
        <v>82</v>
      </c>
      <c r="H19">
        <v>0</v>
      </c>
      <c r="I19">
        <v>30</v>
      </c>
      <c r="J19" s="8">
        <v>45078</v>
      </c>
      <c r="K19" t="str" cm="1">
        <f t="array" ref="K19">_xlfn.SWITCH(monthly_demand[[#This Row],[month]], 12,"Winter",1,"Winter",2,"Winter", 3,"Spring",4,"Spring",5,"Spring", 6,"Summer",7,"Summer",8,"Summer", 9,"Fall",10,"Fall",11,"Fall", "")</f>
        <v>Summer</v>
      </c>
    </row>
    <row r="20" spans="1:11" x14ac:dyDescent="0.2">
      <c r="A20">
        <v>2023</v>
      </c>
      <c r="B20" s="5">
        <v>7</v>
      </c>
      <c r="C20">
        <v>46385.9</v>
      </c>
      <c r="D20">
        <v>1496.3</v>
      </c>
      <c r="E20">
        <v>1869.2</v>
      </c>
      <c r="F20">
        <v>1067.8</v>
      </c>
      <c r="G20">
        <v>88.8</v>
      </c>
      <c r="H20">
        <v>0</v>
      </c>
      <c r="I20">
        <v>31</v>
      </c>
      <c r="J20" s="8">
        <v>45108</v>
      </c>
      <c r="K20" t="str" cm="1">
        <f t="array" ref="K20">_xlfn.SWITCH(monthly_demand[[#This Row],[month]], 12,"Winter",1,"Winter",2,"Winter", 3,"Spring",4,"Spring",5,"Spring", 6,"Summer",7,"Summer",8,"Summer", 9,"Fall",10,"Fall",11,"Fall", "")</f>
        <v>Summer</v>
      </c>
    </row>
    <row r="21" spans="1:11" x14ac:dyDescent="0.2">
      <c r="A21">
        <v>2023</v>
      </c>
      <c r="B21" s="5">
        <v>8</v>
      </c>
      <c r="C21">
        <v>43554.3</v>
      </c>
      <c r="D21">
        <v>1405</v>
      </c>
      <c r="E21">
        <v>2043.9</v>
      </c>
      <c r="F21">
        <v>1001.9</v>
      </c>
      <c r="G21">
        <v>89.6</v>
      </c>
      <c r="H21">
        <v>1</v>
      </c>
      <c r="I21">
        <v>31</v>
      </c>
      <c r="J21" s="8">
        <v>45139</v>
      </c>
      <c r="K21" t="str" cm="1">
        <f t="array" ref="K21">_xlfn.SWITCH(monthly_demand[[#This Row],[month]], 12,"Winter",1,"Winter",2,"Winter", 3,"Spring",4,"Spring",5,"Spring", 6,"Summer",7,"Summer",8,"Summer", 9,"Fall",10,"Fall",11,"Fall", "")</f>
        <v>Summer</v>
      </c>
    </row>
    <row r="22" spans="1:11" x14ac:dyDescent="0.2">
      <c r="A22">
        <v>2023</v>
      </c>
      <c r="B22" s="5">
        <v>9</v>
      </c>
      <c r="C22">
        <v>35855.9</v>
      </c>
      <c r="D22">
        <v>1195.2</v>
      </c>
      <c r="E22">
        <v>1456.6</v>
      </c>
      <c r="F22">
        <v>857.6</v>
      </c>
      <c r="G22">
        <v>78.5</v>
      </c>
      <c r="H22">
        <v>1</v>
      </c>
      <c r="I22">
        <v>30</v>
      </c>
      <c r="J22" s="8">
        <v>45170</v>
      </c>
      <c r="K22" t="str" cm="1">
        <f t="array" ref="K22">_xlfn.SWITCH(monthly_demand[[#This Row],[month]], 12,"Winter",1,"Winter",2,"Winter", 3,"Spring",4,"Spring",5,"Spring", 6,"Summer",7,"Summer",8,"Summer", 9,"Fall",10,"Fall",11,"Fall", "")</f>
        <v>Fall</v>
      </c>
    </row>
    <row r="23" spans="1:11" x14ac:dyDescent="0.2">
      <c r="A23">
        <v>2023</v>
      </c>
      <c r="B23" s="5">
        <v>10</v>
      </c>
      <c r="C23">
        <v>31909.599999999999</v>
      </c>
      <c r="D23">
        <v>1029.3</v>
      </c>
      <c r="E23">
        <v>1235.7</v>
      </c>
      <c r="F23">
        <v>775.6</v>
      </c>
      <c r="G23">
        <v>64.3</v>
      </c>
      <c r="H23">
        <v>0</v>
      </c>
      <c r="I23">
        <v>31</v>
      </c>
      <c r="J23" s="8">
        <v>45200</v>
      </c>
      <c r="K23" t="str" cm="1">
        <f t="array" ref="K23">_xlfn.SWITCH(monthly_demand[[#This Row],[month]], 12,"Winter",1,"Winter",2,"Winter", 3,"Spring",4,"Spring",5,"Spring", 6,"Summer",7,"Summer",8,"Summer", 9,"Fall",10,"Fall",11,"Fall", "")</f>
        <v>Fall</v>
      </c>
    </row>
    <row r="24" spans="1:11" x14ac:dyDescent="0.2">
      <c r="A24">
        <v>2023</v>
      </c>
      <c r="B24" s="5">
        <v>11</v>
      </c>
      <c r="C24">
        <v>34696.1</v>
      </c>
      <c r="D24">
        <v>1156.5</v>
      </c>
      <c r="E24">
        <v>1545.5</v>
      </c>
      <c r="F24">
        <v>723.5</v>
      </c>
      <c r="G24">
        <v>49.4</v>
      </c>
      <c r="H24">
        <v>1</v>
      </c>
      <c r="I24">
        <v>30</v>
      </c>
      <c r="J24" s="8">
        <v>45231</v>
      </c>
      <c r="K24" t="str" cm="1">
        <f t="array" ref="K24">_xlfn.SWITCH(monthly_demand[[#This Row],[month]], 12,"Winter",1,"Winter",2,"Winter", 3,"Spring",4,"Spring",5,"Spring", 6,"Summer",7,"Summer",8,"Summer", 9,"Fall",10,"Fall",11,"Fall", "")</f>
        <v>Fall</v>
      </c>
    </row>
    <row r="25" spans="1:11" x14ac:dyDescent="0.2">
      <c r="A25">
        <v>2023</v>
      </c>
      <c r="B25" s="5">
        <v>12</v>
      </c>
      <c r="C25">
        <v>41226.300000000003</v>
      </c>
      <c r="D25">
        <v>1329.9</v>
      </c>
      <c r="E25">
        <v>1598.9</v>
      </c>
      <c r="F25">
        <v>989.1</v>
      </c>
      <c r="G25">
        <v>39.4</v>
      </c>
      <c r="H25">
        <v>0</v>
      </c>
      <c r="I25">
        <v>31</v>
      </c>
      <c r="J25" s="8">
        <v>45261</v>
      </c>
      <c r="K25" t="str" cm="1">
        <f t="array" ref="K25">_xlfn.SWITCH(monthly_demand[[#This Row],[month]], 12,"Winter",1,"Winter",2,"Winter", 3,"Spring",4,"Spring",5,"Spring", 6,"Summer",7,"Summer",8,"Summer", 9,"Fall",10,"Fall",11,"Fall", "")</f>
        <v>Winter</v>
      </c>
    </row>
    <row r="26" spans="1:11" x14ac:dyDescent="0.2">
      <c r="A26">
        <v>2024</v>
      </c>
      <c r="B26" s="5">
        <v>1</v>
      </c>
      <c r="C26">
        <v>42930</v>
      </c>
      <c r="D26">
        <v>1384.8</v>
      </c>
      <c r="E26">
        <v>1670.9</v>
      </c>
      <c r="F26">
        <v>965</v>
      </c>
      <c r="G26">
        <v>36.299999999999997</v>
      </c>
      <c r="H26">
        <v>0</v>
      </c>
      <c r="I26">
        <v>31</v>
      </c>
      <c r="J26" s="8">
        <v>45292</v>
      </c>
      <c r="K26" t="str" cm="1">
        <f t="array" ref="K26">_xlfn.SWITCH(monthly_demand[[#This Row],[month]], 12,"Winter",1,"Winter",2,"Winter", 3,"Spring",4,"Spring",5,"Spring", 6,"Summer",7,"Summer",8,"Summer", 9,"Fall",10,"Fall",11,"Fall", "")</f>
        <v>Winter</v>
      </c>
    </row>
    <row r="27" spans="1:11" x14ac:dyDescent="0.2">
      <c r="A27">
        <v>2024</v>
      </c>
      <c r="B27" s="5">
        <v>2</v>
      </c>
      <c r="C27">
        <v>37920.199999999997</v>
      </c>
      <c r="D27">
        <v>1307.5999999999999</v>
      </c>
      <c r="E27">
        <v>1573.8</v>
      </c>
      <c r="F27">
        <v>951</v>
      </c>
      <c r="G27">
        <v>36.700000000000003</v>
      </c>
      <c r="H27">
        <v>0</v>
      </c>
      <c r="I27">
        <v>29</v>
      </c>
      <c r="J27" s="8">
        <v>45323</v>
      </c>
      <c r="K27" t="str" cm="1">
        <f t="array" ref="K27">_xlfn.SWITCH(monthly_demand[[#This Row],[month]], 12,"Winter",1,"Winter",2,"Winter", 3,"Spring",4,"Spring",5,"Spring", 6,"Summer",7,"Summer",8,"Summer", 9,"Fall",10,"Fall",11,"Fall", "")</f>
        <v>Winter</v>
      </c>
    </row>
    <row r="28" spans="1:11" x14ac:dyDescent="0.2">
      <c r="A28">
        <v>2024</v>
      </c>
      <c r="B28" s="5">
        <v>3</v>
      </c>
      <c r="C28">
        <v>35181.300000000003</v>
      </c>
      <c r="D28">
        <v>1134.9000000000001</v>
      </c>
      <c r="E28">
        <v>1305</v>
      </c>
      <c r="F28">
        <v>874.2</v>
      </c>
      <c r="G28">
        <v>50.7</v>
      </c>
      <c r="H28">
        <v>0</v>
      </c>
      <c r="I28">
        <v>31</v>
      </c>
      <c r="J28" s="8">
        <v>45352</v>
      </c>
      <c r="K28" t="str" cm="1">
        <f t="array" ref="K28">_xlfn.SWITCH(monthly_demand[[#This Row],[month]], 12,"Winter",1,"Winter",2,"Winter", 3,"Spring",4,"Spring",5,"Spring", 6,"Summer",7,"Summer",8,"Summer", 9,"Fall",10,"Fall",11,"Fall", "")</f>
        <v>Spring</v>
      </c>
    </row>
    <row r="29" spans="1:11" x14ac:dyDescent="0.2">
      <c r="A29">
        <v>2024</v>
      </c>
      <c r="B29" s="5">
        <v>4</v>
      </c>
      <c r="C29">
        <v>31840.2</v>
      </c>
      <c r="D29">
        <v>1061.3</v>
      </c>
      <c r="E29">
        <v>1285.8</v>
      </c>
      <c r="F29">
        <v>767.6</v>
      </c>
      <c r="G29">
        <v>63.1</v>
      </c>
      <c r="H29">
        <v>0</v>
      </c>
      <c r="I29">
        <v>30</v>
      </c>
      <c r="J29" s="8">
        <v>45383</v>
      </c>
      <c r="K29" t="str" cm="1">
        <f t="array" ref="K29">_xlfn.SWITCH(monthly_demand[[#This Row],[month]], 12,"Winter",1,"Winter",2,"Winter", 3,"Spring",4,"Spring",5,"Spring", 6,"Summer",7,"Summer",8,"Summer", 9,"Fall",10,"Fall",11,"Fall", "")</f>
        <v>Spring</v>
      </c>
    </row>
    <row r="30" spans="1:11" x14ac:dyDescent="0.2">
      <c r="A30">
        <v>2024</v>
      </c>
      <c r="B30" s="5">
        <v>5</v>
      </c>
      <c r="C30">
        <v>31580.3</v>
      </c>
      <c r="D30">
        <v>1018.7</v>
      </c>
      <c r="E30">
        <v>1454.4</v>
      </c>
      <c r="F30">
        <v>643.6</v>
      </c>
      <c r="G30">
        <v>73.5</v>
      </c>
      <c r="H30">
        <v>1</v>
      </c>
      <c r="I30">
        <v>31</v>
      </c>
      <c r="J30" s="8">
        <v>45413</v>
      </c>
      <c r="K30" t="str" cm="1">
        <f t="array" ref="K30">_xlfn.SWITCH(monthly_demand[[#This Row],[month]], 12,"Winter",1,"Winter",2,"Winter", 3,"Spring",4,"Spring",5,"Spring", 6,"Summer",7,"Summer",8,"Summer", 9,"Fall",10,"Fall",11,"Fall", "")</f>
        <v>Spring</v>
      </c>
    </row>
    <row r="31" spans="1:11" x14ac:dyDescent="0.2">
      <c r="A31">
        <v>2024</v>
      </c>
      <c r="B31" s="5">
        <v>6</v>
      </c>
      <c r="C31">
        <v>36863.199999999997</v>
      </c>
      <c r="D31">
        <v>1228.8</v>
      </c>
      <c r="E31">
        <v>1596.1</v>
      </c>
      <c r="F31">
        <v>886.3</v>
      </c>
      <c r="G31">
        <v>81.099999999999994</v>
      </c>
      <c r="H31">
        <v>0</v>
      </c>
      <c r="I31">
        <v>30</v>
      </c>
      <c r="J31" s="8">
        <v>45444</v>
      </c>
      <c r="K31" t="str" cm="1">
        <f t="array" ref="K31">_xlfn.SWITCH(monthly_demand[[#This Row],[month]], 12,"Winter",1,"Winter",2,"Winter", 3,"Spring",4,"Spring",5,"Spring", 6,"Summer",7,"Summer",8,"Summer", 9,"Fall",10,"Fall",11,"Fall", "")</f>
        <v>Summer</v>
      </c>
    </row>
    <row r="32" spans="1:11" x14ac:dyDescent="0.2">
      <c r="A32">
        <v>2024</v>
      </c>
      <c r="B32" s="5">
        <v>7</v>
      </c>
      <c r="C32">
        <v>47341.3</v>
      </c>
      <c r="D32">
        <v>1527.1</v>
      </c>
      <c r="E32">
        <v>2170.3000000000002</v>
      </c>
      <c r="F32">
        <v>1033.5999999999999</v>
      </c>
      <c r="G32">
        <v>90.3</v>
      </c>
      <c r="H32">
        <v>1</v>
      </c>
      <c r="I32">
        <v>31</v>
      </c>
      <c r="J32" s="8">
        <v>45474</v>
      </c>
      <c r="K32" t="str" cm="1">
        <f t="array" ref="K32">_xlfn.SWITCH(monthly_demand[[#This Row],[month]], 12,"Winter",1,"Winter",2,"Winter", 3,"Spring",4,"Spring",5,"Spring", 6,"Summer",7,"Summer",8,"Summer", 9,"Fall",10,"Fall",11,"Fall", "")</f>
        <v>Summer</v>
      </c>
    </row>
    <row r="33" spans="1:11" x14ac:dyDescent="0.2">
      <c r="A33">
        <v>2024</v>
      </c>
      <c r="B33" s="5">
        <v>8</v>
      </c>
      <c r="C33">
        <v>44667.7</v>
      </c>
      <c r="D33">
        <v>1440.9</v>
      </c>
      <c r="E33">
        <v>1835.1</v>
      </c>
      <c r="F33">
        <v>969.7</v>
      </c>
      <c r="G33">
        <v>88.3</v>
      </c>
      <c r="H33">
        <v>0</v>
      </c>
      <c r="I33">
        <v>31</v>
      </c>
      <c r="J33" s="8">
        <v>45505</v>
      </c>
      <c r="K33" t="str" cm="1">
        <f t="array" ref="K33">_xlfn.SWITCH(monthly_demand[[#This Row],[month]], 12,"Winter",1,"Winter",2,"Winter", 3,"Spring",4,"Spring",5,"Spring", 6,"Summer",7,"Summer",8,"Summer", 9,"Fall",10,"Fall",11,"Fall", "")</f>
        <v>Summer</v>
      </c>
    </row>
    <row r="34" spans="1:11" x14ac:dyDescent="0.2">
      <c r="A34">
        <v>2024</v>
      </c>
      <c r="B34" s="5">
        <v>9</v>
      </c>
      <c r="C34">
        <v>36297.199999999997</v>
      </c>
      <c r="D34">
        <v>1209.9000000000001</v>
      </c>
      <c r="E34">
        <v>1436.4</v>
      </c>
      <c r="F34">
        <v>830.1</v>
      </c>
      <c r="G34">
        <v>79.099999999999994</v>
      </c>
      <c r="H34">
        <v>0</v>
      </c>
      <c r="I34">
        <v>30</v>
      </c>
      <c r="J34" s="8">
        <v>45536</v>
      </c>
      <c r="K34" t="str" cm="1">
        <f t="array" ref="K34">_xlfn.SWITCH(monthly_demand[[#This Row],[month]], 12,"Winter",1,"Winter",2,"Winter", 3,"Spring",4,"Spring",5,"Spring", 6,"Summer",7,"Summer",8,"Summer", 9,"Fall",10,"Fall",11,"Fall", "")</f>
        <v>Fall</v>
      </c>
    </row>
    <row r="35" spans="1:11" x14ac:dyDescent="0.2">
      <c r="A35">
        <v>2024</v>
      </c>
      <c r="B35" s="5">
        <v>10</v>
      </c>
      <c r="C35">
        <v>33613.800000000003</v>
      </c>
      <c r="D35">
        <v>1084.3</v>
      </c>
      <c r="E35">
        <v>1309.5</v>
      </c>
      <c r="F35">
        <v>819.5</v>
      </c>
      <c r="G35">
        <v>63.3</v>
      </c>
      <c r="H35">
        <v>2</v>
      </c>
      <c r="I35">
        <v>31</v>
      </c>
      <c r="J35" s="8">
        <v>45566</v>
      </c>
      <c r="K35" t="str" cm="1">
        <f t="array" ref="K35">_xlfn.SWITCH(monthly_demand[[#This Row],[month]], 12,"Winter",1,"Winter",2,"Winter", 3,"Spring",4,"Spring",5,"Spring", 6,"Summer",7,"Summer",8,"Summer", 9,"Fall",10,"Fall",11,"Fall", "")</f>
        <v>Fall</v>
      </c>
    </row>
    <row r="36" spans="1:11" x14ac:dyDescent="0.2">
      <c r="A36">
        <v>2024</v>
      </c>
      <c r="B36" s="5">
        <v>11</v>
      </c>
      <c r="C36">
        <v>34712.400000000001</v>
      </c>
      <c r="D36">
        <v>1157.0999999999999</v>
      </c>
      <c r="E36">
        <v>1528.7</v>
      </c>
      <c r="F36">
        <v>872.3</v>
      </c>
      <c r="G36">
        <v>50.4</v>
      </c>
      <c r="H36">
        <v>0</v>
      </c>
      <c r="I36">
        <v>30</v>
      </c>
      <c r="J36" s="8">
        <v>45597</v>
      </c>
      <c r="K36" t="str" cm="1">
        <f t="array" ref="K36">_xlfn.SWITCH(monthly_demand[[#This Row],[month]], 12,"Winter",1,"Winter",2,"Winter", 3,"Spring",4,"Spring",5,"Spring", 6,"Summer",7,"Summer",8,"Summer", 9,"Fall",10,"Fall",11,"Fall", "")</f>
        <v>Fall</v>
      </c>
    </row>
    <row r="37" spans="1:11" x14ac:dyDescent="0.2">
      <c r="A37">
        <v>2024</v>
      </c>
      <c r="B37" s="5">
        <v>12</v>
      </c>
      <c r="C37">
        <v>40784.800000000003</v>
      </c>
      <c r="D37">
        <v>1315.6</v>
      </c>
      <c r="E37">
        <v>1705.5</v>
      </c>
      <c r="F37">
        <v>917.1</v>
      </c>
      <c r="G37">
        <v>39</v>
      </c>
      <c r="H37">
        <v>0</v>
      </c>
      <c r="I37">
        <v>31</v>
      </c>
      <c r="J37" s="8">
        <v>45627</v>
      </c>
      <c r="K37" t="str" cm="1">
        <f t="array" ref="K37">_xlfn.SWITCH(monthly_demand[[#This Row],[month]], 12,"Winter",1,"Winter",2,"Winter", 3,"Spring",4,"Spring",5,"Spring", 6,"Summer",7,"Summer",8,"Summer", 9,"Fall",10,"Fall",11,"Fall", "")</f>
        <v>Winter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EAC6-67D3-5249-A1E0-AB5D221F0E7C}">
  <dimension ref="A1:C28"/>
  <sheetViews>
    <sheetView topLeftCell="A3" zoomScale="150" zoomScaleNormal="150" workbookViewId="0">
      <selection activeCell="B10" sqref="B10"/>
    </sheetView>
  </sheetViews>
  <sheetFormatPr baseColWidth="10" defaultRowHeight="16" x14ac:dyDescent="0.2"/>
  <cols>
    <col min="1" max="1" width="28.6640625" customWidth="1"/>
    <col min="2" max="2" width="15.33203125" customWidth="1"/>
    <col min="3" max="3" width="14.5" customWidth="1"/>
  </cols>
  <sheetData>
    <row r="1" spans="1:3" x14ac:dyDescent="0.2">
      <c r="A1" s="2" t="s">
        <v>18</v>
      </c>
    </row>
    <row r="3" spans="1:3" x14ac:dyDescent="0.2">
      <c r="A3" t="s">
        <v>10</v>
      </c>
      <c r="B3">
        <f>SUM(raw_data!I:I)</f>
        <v>1096</v>
      </c>
    </row>
    <row r="4" spans="1:3" x14ac:dyDescent="0.2">
      <c r="A4" t="s">
        <v>11</v>
      </c>
      <c r="B4" s="3">
        <f>AVERAGE(raw_data!D:D)</f>
        <v>1211.7027777777778</v>
      </c>
    </row>
    <row r="5" spans="1:3" x14ac:dyDescent="0.2">
      <c r="A5" t="s">
        <v>13</v>
      </c>
      <c r="B5">
        <f>MAX(raw_data!E:E)</f>
        <v>2170.3000000000002</v>
      </c>
    </row>
    <row r="6" spans="1:3" x14ac:dyDescent="0.2">
      <c r="A6" t="s">
        <v>12</v>
      </c>
      <c r="B6">
        <f>MIN(raw_data!F:F)</f>
        <v>643.6</v>
      </c>
    </row>
    <row r="7" spans="1:3" x14ac:dyDescent="0.2">
      <c r="A7" t="s">
        <v>14</v>
      </c>
      <c r="B7">
        <f>SUM(raw_data!C:C)</f>
        <v>1328272.5</v>
      </c>
    </row>
    <row r="8" spans="1:3" x14ac:dyDescent="0.2">
      <c r="A8" t="s">
        <v>15</v>
      </c>
      <c r="B8">
        <f>AVERAGEIF(raw_data!A:A,2024,raw_data!D:D)</f>
        <v>1239.2499999999998</v>
      </c>
    </row>
    <row r="9" spans="1:3" x14ac:dyDescent="0.2">
      <c r="A9" t="s">
        <v>16</v>
      </c>
      <c r="B9">
        <f>AVERAGEIF(raw_data!A:A,2023,raw_data!D:D)</f>
        <v>1224.2166666666665</v>
      </c>
    </row>
    <row r="10" spans="1:3" x14ac:dyDescent="0.2">
      <c r="A10" t="s">
        <v>17</v>
      </c>
      <c r="B10" s="1">
        <f>(B8-B9)/B9</f>
        <v>1.2279961335820162E-2</v>
      </c>
    </row>
    <row r="12" spans="1:3" x14ac:dyDescent="0.2">
      <c r="A12" s="2" t="s">
        <v>19</v>
      </c>
    </row>
    <row r="13" spans="1:3" x14ac:dyDescent="0.2">
      <c r="A13" s="2" t="s">
        <v>20</v>
      </c>
    </row>
    <row r="14" spans="1:3" x14ac:dyDescent="0.2">
      <c r="A14" s="4" t="s">
        <v>21</v>
      </c>
      <c r="B14" s="4" t="s">
        <v>11</v>
      </c>
      <c r="C14" s="4" t="s">
        <v>30</v>
      </c>
    </row>
    <row r="15" spans="1:3" x14ac:dyDescent="0.2">
      <c r="A15" t="s">
        <v>22</v>
      </c>
      <c r="B15" s="3">
        <f>AVERAGEIF(raw_data!K:K,"Summer",raw_data!D:D)</f>
        <v>1371.4888888888888</v>
      </c>
      <c r="C15" s="3">
        <f>AVERAGEIF(raw_data!K:K,"Summer",raw_data!G:G)</f>
        <v>86.677777777777763</v>
      </c>
    </row>
    <row r="16" spans="1:3" x14ac:dyDescent="0.2">
      <c r="A16" t="s">
        <v>23</v>
      </c>
      <c r="B16" s="3">
        <f>AVERAGEIF(raw_data!K:K,"Winter",raw_data!D:D)</f>
        <v>1304.0222222222224</v>
      </c>
      <c r="C16" s="3">
        <f>AVERAGEIF(raw_data!K:K,"Winter",raw_data!G:G)</f>
        <v>37.344444444444441</v>
      </c>
    </row>
    <row r="17" spans="1:3" x14ac:dyDescent="0.2">
      <c r="A17" t="s">
        <v>24</v>
      </c>
      <c r="B17" s="3">
        <f>AVERAGEIF(raw_data!K:K,"Fall",raw_data!D:D)</f>
        <v>1124.5111111111112</v>
      </c>
      <c r="C17" s="3">
        <f>AVERAGEIF(raw_data!K:K,"Fall",raw_data!G:G)</f>
        <v>64.033333333333331</v>
      </c>
    </row>
    <row r="18" spans="1:3" x14ac:dyDescent="0.2">
      <c r="A18" t="s">
        <v>25</v>
      </c>
      <c r="B18" s="3">
        <f>AVERAGEIF(raw_data!K:K,"Spring",raw_data!D:D)</f>
        <v>1046.788888888889</v>
      </c>
      <c r="C18" s="3">
        <f>AVERAGEIF(raw_data!K:K,"Spring",raw_data!G:G)</f>
        <v>62.033333333333331</v>
      </c>
    </row>
    <row r="20" spans="1:3" x14ac:dyDescent="0.2">
      <c r="A20" s="2" t="s">
        <v>26</v>
      </c>
    </row>
    <row r="21" spans="1:3" x14ac:dyDescent="0.2">
      <c r="A21" s="2" t="s">
        <v>27</v>
      </c>
    </row>
    <row r="22" spans="1:3" x14ac:dyDescent="0.2">
      <c r="A22" t="s">
        <v>28</v>
      </c>
      <c r="B22" s="3">
        <f>B8*(1 + B10)</f>
        <v>1254.467942085415</v>
      </c>
    </row>
    <row r="23" spans="1:3" x14ac:dyDescent="0.2">
      <c r="A23" t="s">
        <v>29</v>
      </c>
      <c r="B23">
        <v>0.03</v>
      </c>
    </row>
    <row r="24" spans="1:3" x14ac:dyDescent="0.2">
      <c r="A24" t="s">
        <v>32</v>
      </c>
      <c r="B24">
        <v>0.15</v>
      </c>
    </row>
    <row r="25" spans="1:3" x14ac:dyDescent="0.2">
      <c r="A25" t="s">
        <v>33</v>
      </c>
      <c r="B25" s="3">
        <f>B22*(1 + B23)*(1 + B24)</f>
        <v>1485.9172774001738</v>
      </c>
    </row>
    <row r="26" spans="1:3" x14ac:dyDescent="0.2">
      <c r="A26" t="s">
        <v>34</v>
      </c>
      <c r="B26">
        <v>1500</v>
      </c>
    </row>
    <row r="27" spans="1:3" x14ac:dyDescent="0.2">
      <c r="A27" t="s">
        <v>35</v>
      </c>
      <c r="B27" s="3">
        <f>B25-B26</f>
        <v>-14.082722599826184</v>
      </c>
    </row>
    <row r="28" spans="1:3" x14ac:dyDescent="0.2">
      <c r="A28" t="s">
        <v>36</v>
      </c>
      <c r="B28" s="1">
        <f>B27/B26</f>
        <v>-9.3884817332174561E-3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31E-ACC4-7140-822B-C2DD69A03FAB}">
  <dimension ref="A1:E43"/>
  <sheetViews>
    <sheetView workbookViewId="0">
      <selection activeCell="C39" sqref="C39"/>
    </sheetView>
  </sheetViews>
  <sheetFormatPr baseColWidth="10" defaultRowHeight="16" x14ac:dyDescent="0.2"/>
  <cols>
    <col min="1" max="1" width="13.33203125" style="7" bestFit="1" customWidth="1"/>
    <col min="2" max="2" width="11.1640625" bestFit="1" customWidth="1"/>
  </cols>
  <sheetData>
    <row r="1" spans="1:5" x14ac:dyDescent="0.2">
      <c r="A1" s="7" t="s">
        <v>9</v>
      </c>
      <c r="B1" t="s">
        <v>3</v>
      </c>
      <c r="C1" t="s">
        <v>37</v>
      </c>
      <c r="D1" t="s">
        <v>38</v>
      </c>
      <c r="E1" t="s">
        <v>39</v>
      </c>
    </row>
    <row r="2" spans="1:5" x14ac:dyDescent="0.2">
      <c r="A2" s="7">
        <v>44562</v>
      </c>
      <c r="B2">
        <v>1274.2</v>
      </c>
      <c r="E2" t="s">
        <v>40</v>
      </c>
    </row>
    <row r="3" spans="1:5" x14ac:dyDescent="0.2">
      <c r="A3" s="7">
        <v>44593</v>
      </c>
      <c r="B3">
        <v>1225.3</v>
      </c>
      <c r="E3" t="s">
        <v>40</v>
      </c>
    </row>
    <row r="4" spans="1:5" x14ac:dyDescent="0.2">
      <c r="A4" s="7">
        <v>44621</v>
      </c>
      <c r="B4">
        <v>1093.4000000000001</v>
      </c>
      <c r="E4" t="s">
        <v>40</v>
      </c>
    </row>
    <row r="5" spans="1:5" x14ac:dyDescent="0.2">
      <c r="A5" s="7">
        <v>44652</v>
      </c>
      <c r="B5">
        <v>989.4</v>
      </c>
      <c r="E5" t="s">
        <v>40</v>
      </c>
    </row>
    <row r="6" spans="1:5" x14ac:dyDescent="0.2">
      <c r="A6" s="7">
        <v>44682</v>
      </c>
      <c r="B6">
        <v>959.3</v>
      </c>
      <c r="E6" t="s">
        <v>40</v>
      </c>
    </row>
    <row r="7" spans="1:5" x14ac:dyDescent="0.2">
      <c r="A7" s="7">
        <v>44713</v>
      </c>
      <c r="B7">
        <v>1223</v>
      </c>
      <c r="E7" t="s">
        <v>40</v>
      </c>
    </row>
    <row r="8" spans="1:5" x14ac:dyDescent="0.2">
      <c r="A8" s="7">
        <v>44743</v>
      </c>
      <c r="B8">
        <v>1406.3</v>
      </c>
      <c r="E8" t="s">
        <v>40</v>
      </c>
    </row>
    <row r="9" spans="1:5" x14ac:dyDescent="0.2">
      <c r="A9" s="7">
        <v>44774</v>
      </c>
      <c r="B9">
        <v>1357.9</v>
      </c>
      <c r="E9" t="s">
        <v>40</v>
      </c>
    </row>
    <row r="10" spans="1:5" x14ac:dyDescent="0.2">
      <c r="A10" s="7">
        <v>44805</v>
      </c>
      <c r="B10">
        <v>1155.3</v>
      </c>
      <c r="E10" t="s">
        <v>40</v>
      </c>
    </row>
    <row r="11" spans="1:5" x14ac:dyDescent="0.2">
      <c r="A11" s="7">
        <v>44835</v>
      </c>
      <c r="B11">
        <v>1015.8</v>
      </c>
      <c r="E11" t="s">
        <v>40</v>
      </c>
    </row>
    <row r="12" spans="1:5" x14ac:dyDescent="0.2">
      <c r="A12" s="7">
        <v>44866</v>
      </c>
      <c r="B12">
        <v>1117.2</v>
      </c>
      <c r="E12" t="s">
        <v>40</v>
      </c>
    </row>
    <row r="13" spans="1:5" x14ac:dyDescent="0.2">
      <c r="A13" s="7">
        <v>44896</v>
      </c>
      <c r="B13">
        <v>1242.5999999999999</v>
      </c>
      <c r="E13" t="s">
        <v>40</v>
      </c>
    </row>
    <row r="14" spans="1:5" x14ac:dyDescent="0.2">
      <c r="A14" s="7">
        <v>44927</v>
      </c>
      <c r="B14">
        <v>1344</v>
      </c>
      <c r="E14" t="s">
        <v>40</v>
      </c>
    </row>
    <row r="15" spans="1:5" x14ac:dyDescent="0.2">
      <c r="A15" s="7">
        <v>44958</v>
      </c>
      <c r="B15">
        <v>1312.2</v>
      </c>
      <c r="E15" t="s">
        <v>40</v>
      </c>
    </row>
    <row r="16" spans="1:5" x14ac:dyDescent="0.2">
      <c r="A16" s="7">
        <v>44986</v>
      </c>
      <c r="B16">
        <v>1144.2</v>
      </c>
      <c r="E16" t="s">
        <v>40</v>
      </c>
    </row>
    <row r="17" spans="1:5" x14ac:dyDescent="0.2">
      <c r="A17" s="7">
        <v>45017</v>
      </c>
      <c r="B17">
        <v>1012.8</v>
      </c>
      <c r="E17" t="s">
        <v>40</v>
      </c>
    </row>
    <row r="18" spans="1:5" x14ac:dyDescent="0.2">
      <c r="A18" s="7">
        <v>45047</v>
      </c>
      <c r="B18">
        <v>1007.1</v>
      </c>
      <c r="E18" t="s">
        <v>40</v>
      </c>
    </row>
    <row r="19" spans="1:5" x14ac:dyDescent="0.2">
      <c r="A19" s="7">
        <v>45078</v>
      </c>
      <c r="B19">
        <v>1258.0999999999999</v>
      </c>
      <c r="E19" t="s">
        <v>40</v>
      </c>
    </row>
    <row r="20" spans="1:5" x14ac:dyDescent="0.2">
      <c r="A20" s="7">
        <v>45108</v>
      </c>
      <c r="B20">
        <v>1496.3</v>
      </c>
      <c r="E20" t="s">
        <v>40</v>
      </c>
    </row>
    <row r="21" spans="1:5" x14ac:dyDescent="0.2">
      <c r="A21" s="7">
        <v>45139</v>
      </c>
      <c r="B21">
        <v>1405</v>
      </c>
      <c r="E21" t="s">
        <v>40</v>
      </c>
    </row>
    <row r="22" spans="1:5" x14ac:dyDescent="0.2">
      <c r="A22" s="7">
        <v>45170</v>
      </c>
      <c r="B22">
        <v>1195.2</v>
      </c>
      <c r="E22" t="s">
        <v>40</v>
      </c>
    </row>
    <row r="23" spans="1:5" x14ac:dyDescent="0.2">
      <c r="A23" s="7">
        <v>45200</v>
      </c>
      <c r="B23">
        <v>1029.3</v>
      </c>
      <c r="E23" t="s">
        <v>40</v>
      </c>
    </row>
    <row r="24" spans="1:5" x14ac:dyDescent="0.2">
      <c r="A24" s="7">
        <v>45231</v>
      </c>
      <c r="B24">
        <v>1156.5</v>
      </c>
      <c r="E24" t="s">
        <v>40</v>
      </c>
    </row>
    <row r="25" spans="1:5" x14ac:dyDescent="0.2">
      <c r="A25" s="7">
        <v>45261</v>
      </c>
      <c r="B25">
        <v>1329.9</v>
      </c>
      <c r="E25" t="s">
        <v>40</v>
      </c>
    </row>
    <row r="26" spans="1:5" x14ac:dyDescent="0.2">
      <c r="A26" s="7">
        <v>45292</v>
      </c>
      <c r="B26">
        <v>1384.8</v>
      </c>
      <c r="E26" t="s">
        <v>40</v>
      </c>
    </row>
    <row r="27" spans="1:5" x14ac:dyDescent="0.2">
      <c r="A27" s="7">
        <v>45323</v>
      </c>
      <c r="B27">
        <v>1307.5999999999999</v>
      </c>
      <c r="E27" t="s">
        <v>40</v>
      </c>
    </row>
    <row r="28" spans="1:5" x14ac:dyDescent="0.2">
      <c r="A28" s="7">
        <v>45352</v>
      </c>
      <c r="B28">
        <v>1134.9000000000001</v>
      </c>
      <c r="E28" t="s">
        <v>40</v>
      </c>
    </row>
    <row r="29" spans="1:5" x14ac:dyDescent="0.2">
      <c r="A29" s="7">
        <v>45383</v>
      </c>
      <c r="B29">
        <v>1061.3</v>
      </c>
      <c r="E29" t="s">
        <v>40</v>
      </c>
    </row>
    <row r="30" spans="1:5" x14ac:dyDescent="0.2">
      <c r="A30" s="7">
        <v>45413</v>
      </c>
      <c r="B30">
        <v>1018.7</v>
      </c>
      <c r="E30" t="s">
        <v>40</v>
      </c>
    </row>
    <row r="31" spans="1:5" x14ac:dyDescent="0.2">
      <c r="A31" s="7">
        <v>45444</v>
      </c>
      <c r="B31">
        <v>1228.8</v>
      </c>
      <c r="E31" t="s">
        <v>40</v>
      </c>
    </row>
    <row r="32" spans="1:5" x14ac:dyDescent="0.2">
      <c r="A32" s="7">
        <v>45474</v>
      </c>
      <c r="B32">
        <v>1527.1</v>
      </c>
      <c r="E32" t="s">
        <v>40</v>
      </c>
    </row>
    <row r="33" spans="1:5" x14ac:dyDescent="0.2">
      <c r="A33" s="7">
        <v>45505</v>
      </c>
      <c r="B33">
        <v>1440.9</v>
      </c>
      <c r="E33" t="s">
        <v>40</v>
      </c>
    </row>
    <row r="34" spans="1:5" x14ac:dyDescent="0.2">
      <c r="A34" s="7">
        <v>45536</v>
      </c>
      <c r="B34">
        <v>1209.9000000000001</v>
      </c>
      <c r="E34" t="s">
        <v>40</v>
      </c>
    </row>
    <row r="35" spans="1:5" x14ac:dyDescent="0.2">
      <c r="A35" s="7">
        <v>45566</v>
      </c>
      <c r="B35">
        <v>1084.3</v>
      </c>
      <c r="E35" t="s">
        <v>40</v>
      </c>
    </row>
    <row r="36" spans="1:5" x14ac:dyDescent="0.2">
      <c r="A36" s="7">
        <v>45597</v>
      </c>
      <c r="B36">
        <v>1157.0999999999999</v>
      </c>
      <c r="E36" t="s">
        <v>40</v>
      </c>
    </row>
    <row r="37" spans="1:5" x14ac:dyDescent="0.2">
      <c r="A37" s="7">
        <v>45627</v>
      </c>
      <c r="B37">
        <v>1315.6</v>
      </c>
      <c r="E37" t="s">
        <v>40</v>
      </c>
    </row>
    <row r="38" spans="1:5" x14ac:dyDescent="0.2">
      <c r="A38" s="7">
        <v>45682</v>
      </c>
      <c r="B38" s="3">
        <f>AVERAGEIFS(raw_data!D:D,raw_data!B:B,1)*(1 + calculations!B10)</f>
        <v>1350.7188950757627</v>
      </c>
      <c r="C38" s="6">
        <f t="shared" ref="C2:C43" si="0">B38*0.92</f>
        <v>1242.6613834697018</v>
      </c>
      <c r="D38" s="6">
        <f t="shared" ref="D2:D43" si="1">B38*1.08</f>
        <v>1458.7764066818238</v>
      </c>
      <c r="E38" t="s">
        <v>41</v>
      </c>
    </row>
    <row r="39" spans="1:5" x14ac:dyDescent="0.2">
      <c r="A39" s="7">
        <v>45714</v>
      </c>
      <c r="B39" s="3">
        <f>AVERAGEIFS(raw_data!D:D,raw_data!B:B,2)*(1 + calculations!B10)</f>
        <v>1297.4392264441208</v>
      </c>
      <c r="C39" s="6">
        <f t="shared" si="0"/>
        <v>1193.6440883285911</v>
      </c>
      <c r="D39" s="6">
        <f t="shared" si="1"/>
        <v>1401.2343645596504</v>
      </c>
      <c r="E39" t="s">
        <v>41</v>
      </c>
    </row>
    <row r="40" spans="1:5" x14ac:dyDescent="0.2">
      <c r="A40" s="7">
        <v>45742</v>
      </c>
      <c r="B40" s="3">
        <f>AVERAGEIFS(raw_data!D:D,raw_data!B:B,3)*(1 + calculations!B10)</f>
        <v>1137.9713898683513</v>
      </c>
      <c r="C40" s="6">
        <f t="shared" si="0"/>
        <v>1046.9336786788831</v>
      </c>
      <c r="D40" s="6">
        <f t="shared" si="1"/>
        <v>1229.0091010578194</v>
      </c>
      <c r="E40" t="s">
        <v>41</v>
      </c>
    </row>
    <row r="41" spans="1:5" x14ac:dyDescent="0.2">
      <c r="A41" s="7">
        <v>45773</v>
      </c>
      <c r="B41" s="3">
        <f>AVERAGEIFS(raw_data!D:D,raw_data!B:B,4)*(1 + calculations!B10)</f>
        <v>1033.7065538507618</v>
      </c>
      <c r="C41" s="6">
        <f t="shared" si="0"/>
        <v>951.01002954270086</v>
      </c>
      <c r="D41" s="6">
        <f t="shared" si="1"/>
        <v>1116.4030781588228</v>
      </c>
      <c r="E41" t="s">
        <v>41</v>
      </c>
    </row>
    <row r="42" spans="1:5" x14ac:dyDescent="0.2">
      <c r="A42" s="7">
        <v>45803</v>
      </c>
      <c r="B42" s="3">
        <f>AVERAGEIFS(raw_data!D:D,raw_data!B:B,5)*(1 + calculations!B10)</f>
        <v>1007.2523041945191</v>
      </c>
      <c r="C42" s="6">
        <f t="shared" si="0"/>
        <v>926.67211985895756</v>
      </c>
      <c r="D42" s="6">
        <f t="shared" si="1"/>
        <v>1087.8324885300806</v>
      </c>
      <c r="E42" t="s">
        <v>41</v>
      </c>
    </row>
    <row r="43" spans="1:5" x14ac:dyDescent="0.2">
      <c r="A43" s="7">
        <v>45833</v>
      </c>
      <c r="B43" s="3">
        <f>AVERAGEIFS(raw_data!D:D,raw_data!B:B,6)*(1 + calculations!B10)</f>
        <v>1251.819142853253</v>
      </c>
      <c r="C43" s="6">
        <f t="shared" si="0"/>
        <v>1151.6736114249927</v>
      </c>
      <c r="D43" s="6">
        <f t="shared" si="1"/>
        <v>1351.9646742815132</v>
      </c>
      <c r="E43" t="s">
        <v>41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D572-8537-394E-A9CA-1A61AE682326}">
  <dimension ref="A3:E17"/>
  <sheetViews>
    <sheetView workbookViewId="0">
      <selection activeCell="D3" sqref="D3"/>
    </sheetView>
  </sheetViews>
  <sheetFormatPr baseColWidth="10" defaultRowHeight="16" x14ac:dyDescent="0.2"/>
  <cols>
    <col min="1" max="1" width="17.83203125" bestFit="1" customWidth="1"/>
    <col min="2" max="2" width="16" bestFit="1" customWidth="1"/>
    <col min="3" max="3" width="12.1640625" bestFit="1" customWidth="1"/>
    <col min="4" max="4" width="8.1640625" bestFit="1" customWidth="1"/>
    <col min="5" max="5" width="12.1640625" bestFit="1" customWidth="1"/>
  </cols>
  <sheetData>
    <row r="3" spans="1:5" x14ac:dyDescent="0.2">
      <c r="A3" s="14" t="s">
        <v>60</v>
      </c>
      <c r="B3" s="14" t="s">
        <v>47</v>
      </c>
    </row>
    <row r="4" spans="1:5" x14ac:dyDescent="0.2">
      <c r="A4" s="14" t="s">
        <v>42</v>
      </c>
      <c r="B4" t="s">
        <v>44</v>
      </c>
      <c r="C4" t="s">
        <v>45</v>
      </c>
      <c r="D4" t="s">
        <v>46</v>
      </c>
      <c r="E4" t="s">
        <v>43</v>
      </c>
    </row>
    <row r="5" spans="1:5" x14ac:dyDescent="0.2">
      <c r="A5" s="15" t="s">
        <v>48</v>
      </c>
      <c r="B5" s="9">
        <v>1274.2</v>
      </c>
      <c r="C5" s="9">
        <v>1344</v>
      </c>
      <c r="D5" s="9">
        <v>1384.8</v>
      </c>
      <c r="E5" s="9">
        <v>1334.3333333333333</v>
      </c>
    </row>
    <row r="6" spans="1:5" x14ac:dyDescent="0.2">
      <c r="A6" s="15" t="s">
        <v>49</v>
      </c>
      <c r="B6" s="9">
        <v>1225.3</v>
      </c>
      <c r="C6" s="9">
        <v>1312.2</v>
      </c>
      <c r="D6" s="9">
        <v>1307.5999999999999</v>
      </c>
      <c r="E6" s="9">
        <v>1281.7</v>
      </c>
    </row>
    <row r="7" spans="1:5" x14ac:dyDescent="0.2">
      <c r="A7" s="15" t="s">
        <v>50</v>
      </c>
      <c r="B7" s="9">
        <v>1093.4000000000001</v>
      </c>
      <c r="C7" s="9">
        <v>1144.2</v>
      </c>
      <c r="D7" s="9">
        <v>1134.9000000000001</v>
      </c>
      <c r="E7" s="9">
        <v>1124.1666666666667</v>
      </c>
    </row>
    <row r="8" spans="1:5" x14ac:dyDescent="0.2">
      <c r="A8" s="15" t="s">
        <v>51</v>
      </c>
      <c r="B8" s="9">
        <v>989.4</v>
      </c>
      <c r="C8" s="9">
        <v>1012.8</v>
      </c>
      <c r="D8" s="9">
        <v>1061.3</v>
      </c>
      <c r="E8" s="9">
        <v>1021.1666666666666</v>
      </c>
    </row>
    <row r="9" spans="1:5" x14ac:dyDescent="0.2">
      <c r="A9" s="15" t="s">
        <v>52</v>
      </c>
      <c r="B9" s="9">
        <v>959.3</v>
      </c>
      <c r="C9" s="9">
        <v>1007.1</v>
      </c>
      <c r="D9" s="9">
        <v>1018.7</v>
      </c>
      <c r="E9" s="9">
        <v>995.03333333333342</v>
      </c>
    </row>
    <row r="10" spans="1:5" x14ac:dyDescent="0.2">
      <c r="A10" s="15" t="s">
        <v>53</v>
      </c>
      <c r="B10" s="9">
        <v>1223</v>
      </c>
      <c r="C10" s="9">
        <v>1258.0999999999999</v>
      </c>
      <c r="D10" s="9">
        <v>1228.8</v>
      </c>
      <c r="E10" s="9">
        <v>1236.6333333333332</v>
      </c>
    </row>
    <row r="11" spans="1:5" x14ac:dyDescent="0.2">
      <c r="A11" s="15" t="s">
        <v>54</v>
      </c>
      <c r="B11" s="9">
        <v>1406.3</v>
      </c>
      <c r="C11" s="9">
        <v>1496.3</v>
      </c>
      <c r="D11" s="9">
        <v>1527.1</v>
      </c>
      <c r="E11" s="9">
        <v>1476.5666666666666</v>
      </c>
    </row>
    <row r="12" spans="1:5" x14ac:dyDescent="0.2">
      <c r="A12" s="15" t="s">
        <v>55</v>
      </c>
      <c r="B12" s="9">
        <v>1357.9</v>
      </c>
      <c r="C12" s="9">
        <v>1405</v>
      </c>
      <c r="D12" s="9">
        <v>1440.9</v>
      </c>
      <c r="E12" s="9">
        <v>1401.2666666666667</v>
      </c>
    </row>
    <row r="13" spans="1:5" x14ac:dyDescent="0.2">
      <c r="A13" s="15" t="s">
        <v>56</v>
      </c>
      <c r="B13" s="9">
        <v>1155.3</v>
      </c>
      <c r="C13" s="9">
        <v>1195.2</v>
      </c>
      <c r="D13" s="9">
        <v>1209.9000000000001</v>
      </c>
      <c r="E13" s="9">
        <v>1186.8</v>
      </c>
    </row>
    <row r="14" spans="1:5" x14ac:dyDescent="0.2">
      <c r="A14" s="15" t="s">
        <v>57</v>
      </c>
      <c r="B14" s="9">
        <v>1015.8</v>
      </c>
      <c r="C14" s="9">
        <v>1029.3</v>
      </c>
      <c r="D14" s="9">
        <v>1084.3</v>
      </c>
      <c r="E14" s="9">
        <v>1043.1333333333332</v>
      </c>
    </row>
    <row r="15" spans="1:5" x14ac:dyDescent="0.2">
      <c r="A15" s="15" t="s">
        <v>58</v>
      </c>
      <c r="B15" s="9">
        <v>1117.2</v>
      </c>
      <c r="C15" s="9">
        <v>1156.5</v>
      </c>
      <c r="D15" s="9">
        <v>1157.0999999999999</v>
      </c>
      <c r="E15" s="9">
        <v>1143.5999999999999</v>
      </c>
    </row>
    <row r="16" spans="1:5" x14ac:dyDescent="0.2">
      <c r="A16" s="15" t="s">
        <v>59</v>
      </c>
      <c r="B16" s="9">
        <v>1242.5999999999999</v>
      </c>
      <c r="C16" s="9">
        <v>1329.9</v>
      </c>
      <c r="D16" s="9">
        <v>1315.6</v>
      </c>
      <c r="E16" s="9">
        <v>1296.0333333333333</v>
      </c>
    </row>
    <row r="17" spans="1:5" x14ac:dyDescent="0.2">
      <c r="A17" s="15" t="s">
        <v>43</v>
      </c>
      <c r="B17" s="9">
        <v>1171.6416666666667</v>
      </c>
      <c r="C17" s="9">
        <v>1224.2166666666665</v>
      </c>
      <c r="D17" s="9">
        <v>1239.2499999999998</v>
      </c>
      <c r="E17" s="9">
        <v>1211.7027777777778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A9730-DCF4-424F-8FB9-3A0C11403EA8}">
  <dimension ref="A2:O70"/>
  <sheetViews>
    <sheetView showGridLines="0" tabSelected="1" topLeftCell="A2" zoomScale="94" zoomScaleNormal="94" workbookViewId="0">
      <selection activeCell="AD36" sqref="AD36"/>
    </sheetView>
  </sheetViews>
  <sheetFormatPr baseColWidth="10" defaultRowHeight="16" x14ac:dyDescent="0.2"/>
  <cols>
    <col min="1" max="1" width="6.33203125" style="10" customWidth="1"/>
    <col min="2" max="2" width="29.6640625" style="10" customWidth="1"/>
    <col min="3" max="3" width="6.6640625" style="10" customWidth="1"/>
    <col min="4" max="4" width="3.5" style="10" customWidth="1"/>
    <col min="5" max="5" width="2.6640625" style="10" customWidth="1"/>
    <col min="6" max="6" width="4.33203125" style="10" customWidth="1"/>
    <col min="7" max="7" width="31" style="10" customWidth="1"/>
    <col min="8" max="8" width="12" style="10" customWidth="1"/>
    <col min="9" max="9" width="2.5" style="10" customWidth="1"/>
    <col min="10" max="10" width="2.83203125" style="10" customWidth="1"/>
    <col min="11" max="11" width="7.6640625" style="10" customWidth="1"/>
    <col min="12" max="12" width="30.5" style="10" customWidth="1"/>
    <col min="13" max="16384" width="10.83203125" style="10"/>
  </cols>
  <sheetData>
    <row r="2" spans="1:14" ht="39" customHeight="1" x14ac:dyDescent="0.2">
      <c r="A2" s="16" t="s">
        <v>63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4" ht="17" thickBot="1" x14ac:dyDescent="0.25"/>
    <row r="4" spans="1:14" ht="83" customHeight="1" thickBot="1" x14ac:dyDescent="0.25">
      <c r="B4" s="20" t="s">
        <v>68</v>
      </c>
      <c r="G4" s="19" t="s">
        <v>61</v>
      </c>
      <c r="L4" s="20" t="s">
        <v>62</v>
      </c>
    </row>
    <row r="5" spans="1:14" ht="26" customHeight="1" x14ac:dyDescent="0.2">
      <c r="B5" s="13"/>
    </row>
    <row r="10" spans="1:14" x14ac:dyDescent="0.2">
      <c r="N10" s="18"/>
    </row>
    <row r="11" spans="1:14" x14ac:dyDescent="0.2">
      <c r="N11" s="18"/>
    </row>
    <row r="28" spans="10:11" x14ac:dyDescent="0.2">
      <c r="J28" s="11"/>
    </row>
    <row r="31" spans="10:11" x14ac:dyDescent="0.2">
      <c r="K31" s="12"/>
    </row>
    <row r="56" spans="1:14" x14ac:dyDescent="0.2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1:14" x14ac:dyDescent="0.2">
      <c r="A57" s="26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spans="1:14" ht="29" x14ac:dyDescent="0.35">
      <c r="A58" s="26"/>
      <c r="B58" s="30"/>
      <c r="C58" s="25"/>
      <c r="D58" s="25"/>
      <c r="E58" s="25"/>
      <c r="F58" s="25"/>
      <c r="G58" s="31" t="s">
        <v>66</v>
      </c>
      <c r="H58" s="25"/>
      <c r="I58" s="25"/>
      <c r="J58" s="25"/>
      <c r="K58" s="25"/>
      <c r="L58" s="21"/>
    </row>
    <row r="59" spans="1:14" ht="19" x14ac:dyDescent="0.25">
      <c r="A59" s="26"/>
      <c r="B59" s="30"/>
      <c r="C59" s="25"/>
      <c r="D59" s="25"/>
      <c r="E59" s="25"/>
      <c r="F59" s="25"/>
      <c r="G59" s="32" t="s">
        <v>67</v>
      </c>
      <c r="H59" s="25"/>
      <c r="I59" s="25"/>
      <c r="J59" s="25"/>
      <c r="K59" s="25"/>
      <c r="L59" s="21"/>
    </row>
    <row r="60" spans="1:14" x14ac:dyDescent="0.2">
      <c r="A60" s="26"/>
      <c r="B60" s="30"/>
      <c r="C60" s="25"/>
      <c r="D60" s="25"/>
      <c r="E60" s="25"/>
      <c r="F60" s="25"/>
      <c r="G60" s="25"/>
      <c r="H60" s="25"/>
      <c r="I60" s="25"/>
      <c r="J60" s="25"/>
      <c r="K60" s="25"/>
      <c r="L60" s="21"/>
    </row>
    <row r="61" spans="1:14" x14ac:dyDescent="0.2">
      <c r="A61" s="26"/>
      <c r="B61" s="30"/>
      <c r="C61" s="25"/>
      <c r="D61" s="25"/>
      <c r="E61" s="25"/>
      <c r="F61" s="25"/>
      <c r="G61" s="25"/>
      <c r="H61" s="25"/>
      <c r="I61" s="25"/>
      <c r="J61" s="25"/>
      <c r="K61" s="25"/>
      <c r="L61" s="21"/>
    </row>
    <row r="62" spans="1:14" ht="27" x14ac:dyDescent="0.35">
      <c r="A62" s="26"/>
      <c r="B62" s="30"/>
      <c r="C62" s="25"/>
      <c r="D62" s="25"/>
      <c r="E62" s="25"/>
      <c r="F62" s="25"/>
      <c r="G62" s="33" t="s">
        <v>65</v>
      </c>
      <c r="H62" s="33">
        <f>calculations!B25</f>
        <v>1485.9172774001738</v>
      </c>
      <c r="I62" s="25"/>
      <c r="J62" s="25"/>
      <c r="K62" s="25"/>
      <c r="L62" s="21"/>
      <c r="N62" s="18"/>
    </row>
    <row r="63" spans="1:14" ht="27" x14ac:dyDescent="0.35">
      <c r="A63" s="26"/>
      <c r="B63" s="30"/>
      <c r="C63" s="25"/>
      <c r="D63" s="25"/>
      <c r="E63" s="25"/>
      <c r="F63" s="25"/>
      <c r="G63" s="33" t="s">
        <v>64</v>
      </c>
      <c r="H63" s="34">
        <f>calculations!B27</f>
        <v>-14.082722599826184</v>
      </c>
      <c r="I63" s="25"/>
      <c r="J63" s="25"/>
      <c r="K63" s="25"/>
      <c r="L63" s="21"/>
      <c r="N63" s="18"/>
    </row>
    <row r="64" spans="1:14" ht="27" x14ac:dyDescent="0.35">
      <c r="A64" s="26"/>
      <c r="B64" s="30"/>
      <c r="C64" s="25"/>
      <c r="D64" s="25"/>
      <c r="E64" s="25"/>
      <c r="F64" s="25"/>
      <c r="G64" s="33" t="s">
        <v>36</v>
      </c>
      <c r="H64" s="35">
        <f>calculations!B28</f>
        <v>-9.3884817332174561E-3</v>
      </c>
      <c r="I64" s="25"/>
      <c r="J64" s="25"/>
      <c r="K64" s="25"/>
      <c r="L64" s="21"/>
      <c r="M64" s="18"/>
      <c r="N64" s="18"/>
    </row>
    <row r="65" spans="1:15" x14ac:dyDescent="0.2">
      <c r="A65" s="26"/>
      <c r="B65" s="30"/>
      <c r="C65" s="25"/>
      <c r="D65" s="25"/>
      <c r="E65" s="25"/>
      <c r="F65" s="25"/>
      <c r="G65" s="25"/>
      <c r="H65" s="25"/>
      <c r="I65" s="25"/>
      <c r="J65" s="25"/>
      <c r="K65" s="25"/>
      <c r="L65" s="21"/>
      <c r="N65" s="18"/>
    </row>
    <row r="66" spans="1:15" x14ac:dyDescent="0.2">
      <c r="A66" s="26"/>
      <c r="B66" s="36"/>
      <c r="C66" s="23"/>
      <c r="D66" s="23"/>
      <c r="E66" s="23"/>
      <c r="F66" s="23"/>
      <c r="G66" s="23"/>
      <c r="H66" s="23"/>
      <c r="I66" s="23"/>
      <c r="J66" s="23"/>
      <c r="K66" s="23"/>
      <c r="L66" s="24"/>
      <c r="N66" s="18"/>
    </row>
    <row r="69" spans="1:15" x14ac:dyDescent="0.2">
      <c r="O69" s="18"/>
    </row>
    <row r="70" spans="1:15" x14ac:dyDescent="0.2">
      <c r="O70" s="18"/>
    </row>
  </sheetData>
  <mergeCells count="1">
    <mergeCell ref="A2:L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21FA36-84C3-5744-A37B-CF2839D873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calculations</vt:lpstr>
      <vt:lpstr>forecast</vt:lpstr>
      <vt:lpstr>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Lynnetta Bonsu</dc:creator>
  <cp:lastModifiedBy>Lynnetta Bonsu</cp:lastModifiedBy>
  <dcterms:created xsi:type="dcterms:W3CDTF">2026-05-21T18:54:43Z</dcterms:created>
  <dcterms:modified xsi:type="dcterms:W3CDTF">2026-05-28T22:25:16Z</dcterms:modified>
</cp:coreProperties>
</file>